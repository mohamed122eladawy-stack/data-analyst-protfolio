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definedNames>
    <definedName function="false" hidden="true" localSheetId="1" name="_xlnm._FilterDatabase" vbProcedure="false">Data!$A$1:$J$601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<sst xmlns="http://schemas.openxmlformats.org/spreadsheetml/2006/main" count="1859" uniqueCount="53">
  <si>
    <t xml:space="preserve">Sales Performance Dashboard - 2026</t>
  </si>
  <si>
    <t xml:space="preserve">Select a branch in B4. All figures and charts update automatically. (Sample data - fictional)</t>
  </si>
  <si>
    <t xml:space="preserve">Branch filter:</t>
  </si>
  <si>
    <t xml:space="preserve">All</t>
  </si>
  <si>
    <t xml:space="preserve">&lt;- helper cell (do not edit)</t>
  </si>
  <si>
    <t xml:space="preserve">Total Revenue</t>
  </si>
  <si>
    <t xml:space="preserve">Total Profit</t>
  </si>
  <si>
    <t xml:space="preserve">Profit Margin</t>
  </si>
  <si>
    <t xml:space="preserve">Units Sold</t>
  </si>
  <si>
    <t xml:space="preserve">Transactions</t>
  </si>
  <si>
    <t xml:space="preserve">Monthly Trend</t>
  </si>
  <si>
    <t xml:space="preserve">Month</t>
  </si>
  <si>
    <t xml:space="preserve">Revenue</t>
  </si>
  <si>
    <t xml:space="preserve">Profit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</si>
  <si>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</si>
  <si>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</si>
  <si>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</si>
  <si>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</si>
  <si>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</si>
  <si>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</si>
  <si>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</si>
  <si>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</si>
  <si>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</si>
  <si>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</si>
  <si>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</si>
  <si>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</si>
  <si>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Sales by Product</t>
  </si>
  <si>
    <t xml:space="preserve">Product</t>
  </si>
  <si>
    <t xml:space="preserve">Units</t>
  </si>
  <si>
    <t xml:space="preserve">Share of Revenue</t>
  </si>
  <si>
    <t xml:space="preserve">Laptop</t>
  </si>
  <si>
    <t xml:space="preserve">Monitor</t>
  </si>
  <si>
    <t xml:space="preserve">Printer</t>
  </si>
  <si>
    <t xml:space="preserve">Keyboard</t>
  </si>
  <si>
    <t xml:space="preserve">Mouse</t>
  </si>
  <si>
    <t xml:space="preserve">Router</t>
  </si>
  <si>
    <t xml:space="preserve">Webcam</t>
  </si>
  <si>
    <t xml:space="preserve">Branch Comparison (not affected by filter)</t>
  </si>
  <si>
    <t xml:space="preserve">Branch</t>
  </si>
  <si>
    <t xml:space="preserve">Margin</t>
  </si>
  <si>
    <t xml:space="preserve">Cairo</t>
  </si>
  <si>
    <t xml:space="preserve">Alexandria</t>
  </si>
  <si>
    <t xml:space="preserve">Giza</t>
  </si>
  <si>
    <t xml:space="preserve">Mansoura</t>
  </si>
  <si>
    <t xml:space="preserve">Best branch:</t>
  </si>
  <si>
    <t xml:space="preserve">Date</t>
  </si>
  <si>
    <t xml:space="preserve">Category</t>
  </si>
  <si>
    <t xml:space="preserve">Qty</t>
  </si>
  <si>
    <t xml:space="preserve">Unit Price</t>
  </si>
  <si>
    <t xml:space="preserve">Unit Cost</t>
  </si>
  <si>
    <t xml:space="preserve">Electronics</t>
  </si>
  <si>
    <t xml:space="preserve">Accessories</t>
  </si>
  <si>
    <t xml:space="preserve">Networking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</si>
</sst>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yyyy\-mm\-dd"/>
    <numFmt numFmtId="168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Dashboard!$B$11:$B$22</c:f>
              <c:numCache>
                <c:formatCode>#,##0</c:formatCode>
                <c:ptCount val="12"/>
                <c:pt idx="0">
                  <c:v>877300</c:v>
                </c:pt>
                <c:pt idx="1">
                  <c:v>619400</c:v>
                </c:pt>
                <c:pt idx="2">
                  <c:v>1078500</c:v>
                </c:pt>
                <c:pt idx="3">
                  <c:v>1019250</c:v>
                </c:pt>
                <c:pt idx="4">
                  <c:v>1435100</c:v>
                </c:pt>
                <c:pt idx="5">
                  <c:v>700200</c:v>
                </c:pt>
                <c:pt idx="6">
                  <c:v>1268400</c:v>
                </c:pt>
                <c:pt idx="7">
                  <c:v>1427550</c:v>
                </c:pt>
                <c:pt idx="8">
                  <c:v>1336200</c:v>
                </c:pt>
                <c:pt idx="9">
                  <c:v>1169650</c:v>
                </c:pt>
                <c:pt idx="10">
                  <c:v>1201900</c:v>
                </c:pt>
                <c:pt idx="11">
                  <c:v>1204050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#,##0</c:formatCode>
                <c:ptCount val="12"/>
                <c:pt idx="0">
                  <c:v>188520</c:v>
                </c:pt>
                <c:pt idx="1">
                  <c:v>135030</c:v>
                </c:pt>
                <c:pt idx="2">
                  <c:v>225690</c:v>
                </c:pt>
                <c:pt idx="3">
                  <c:v>223360</c:v>
                </c:pt>
                <c:pt idx="4">
                  <c:v>289670</c:v>
                </c:pt>
                <c:pt idx="5">
                  <c:v>155630</c:v>
                </c:pt>
                <c:pt idx="6">
                  <c:v>259910</c:v>
                </c:pt>
                <c:pt idx="7">
                  <c:v>297780</c:v>
                </c:pt>
                <c:pt idx="8">
                  <c:v>275280</c:v>
                </c:pt>
                <c:pt idx="9">
                  <c:v>245060</c:v>
                </c:pt>
                <c:pt idx="10">
                  <c:v>253790</c:v>
                </c:pt>
                <c:pt idx="11">
                  <c:v>249720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325705"/>
        <c:axId val="87763235"/>
      </c:lineChart>
      <c:catAx>
        <c:axId val="873257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63235"/>
        <c:crosses val="autoZero"/>
        <c:auto val="1"/>
        <c:lblAlgn val="ctr"/>
        <c:lblOffset val="100"/>
        <c:noMultiLvlLbl val="0"/>
      </c:catAx>
      <c:valAx>
        <c:axId val="87763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257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Dashboard!$A$26:$A$32</c:f>
              <c:strCache>
                <c:ptCount val="7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  <c:pt idx="5">
                  <c:v>Router</c:v>
                </c:pt>
                <c:pt idx="6">
                  <c:v>Webcam</c:v>
                </c:pt>
              </c:strCache>
            </c:strRef>
          </c:cat>
          <c:val>
            <c:numRef>
              <c:f>Dashboard!$B$26:$B$32</c:f>
              <c:numCache>
                <c:formatCode>#,##0</c:formatCode>
                <c:ptCount val="7"/>
                <c:pt idx="0">
                  <c:v>7899500</c:v>
                </c:pt>
                <c:pt idx="1">
                  <c:v>2129400</c:v>
                </c:pt>
                <c:pt idx="2">
                  <c:v>1941800</c:v>
                </c:pt>
                <c:pt idx="3">
                  <c:v>256050</c:v>
                </c:pt>
                <c:pt idx="4">
                  <c:v>109750</c:v>
                </c:pt>
                <c:pt idx="5">
                  <c:v>541800</c:v>
                </c:pt>
                <c:pt idx="6">
                  <c:v>459200</c:v>
                </c:pt>
              </c:numCache>
            </c:numRef>
          </c:val>
        </c:ser>
        <c:gapWidth val="150"/>
        <c:overlap val="0"/>
        <c:axId val="580981"/>
        <c:axId val="75756012"/>
      </c:barChart>
      <c:catAx>
        <c:axId val="580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56012"/>
        <c:crosses val="autoZero"/>
        <c:auto val="1"/>
        <c:lblAlgn val="ctr"/>
        <c:lblOffset val="100"/>
        <c:noMultiLvlLbl val="0"/>
      </c:catAx>
      <c:valAx>
        <c:axId val="75756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9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Dashboard!B35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Dashboard!$A$36:$A$39</c:f>
              <c:strCache>
                <c:ptCount val="4"/>
                <c:pt idx="0">
                  <c:v>Cairo</c:v>
                </c:pt>
                <c:pt idx="1">
                  <c:v>Alexandria</c:v>
                </c:pt>
                <c:pt idx="2">
                  <c:v>Giza</c:v>
                </c:pt>
                <c:pt idx="3">
                  <c:v>Mansoura</c:v>
                </c:pt>
              </c:strCache>
            </c:strRef>
          </c:cat>
          <c:val>
            <c:numRef>
              <c:f>Dashboard!$B$36:$B$39</c:f>
              <c:numCache>
                <c:formatCode>#,##0</c:formatCode>
                <c:ptCount val="4"/>
                <c:pt idx="0">
                  <c:v>3448900</c:v>
                </c:pt>
                <c:pt idx="1">
                  <c:v>3394950</c:v>
                </c:pt>
                <c:pt idx="2">
                  <c:v>2829200</c:v>
                </c:pt>
                <c:pt idx="3">
                  <c:v>3664450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101160</xdr:rowOff>
    </xdr:from>
    <xdr:to>
      <xdr:col>20</xdr:col>
      <xdr:colOff>399240</xdr:colOff>
      <xdr:row>16</xdr:row>
      <xdr:rowOff>151920</xdr:rowOff>
    </xdr:to>
    <xdr:graphicFrame>
      <xdr:nvGraphicFramePr>
        <xdr:cNvPr id="0" name="Chart 1"/>
        <xdr:cNvGraphicFramePr/>
      </xdr:nvGraphicFramePr>
      <xdr:xfrm>
        <a:off x="58503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100800</xdr:rowOff>
    </xdr:from>
    <xdr:to>
      <xdr:col>20</xdr:col>
      <xdr:colOff>399240</xdr:colOff>
      <xdr:row>34</xdr:row>
      <xdr:rowOff>123120</xdr:rowOff>
    </xdr:to>
    <xdr:graphicFrame>
      <xdr:nvGraphicFramePr>
        <xdr:cNvPr id="1" name="Chart 2"/>
        <xdr:cNvGraphicFramePr/>
      </xdr:nvGraphicFramePr>
      <xdr:xfrm>
        <a:off x="5850360" y="3971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100800</xdr:rowOff>
    </xdr:from>
    <xdr:to>
      <xdr:col>20</xdr:col>
      <xdr:colOff>399240</xdr:colOff>
      <xdr:row>51</xdr:row>
      <xdr:rowOff>123120</xdr:rowOff>
    </xdr:to>
    <xdr:graphicFrame>
      <xdr:nvGraphicFramePr>
        <xdr:cNvPr id="2" name="Chart 3"/>
        <xdr:cNvGraphicFramePr/>
      </xdr:nvGraphicFramePr>
      <xdr:xfrm>
        <a:off x="5850360" y="721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14" min="6" style="0" width="3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5" t="str">
        <f aca="false">IF($B$4="All","*",$B$4)</f>
        <v>*</v>
      </c>
      <c r="D4" s="5" t="s">
        <v>4</v>
      </c>
    </row>
    <row r="6" customFormat="false" ht="1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</row>
    <row r="7" customFormat="false" ht="27.75" hidden="false" customHeight="true" outlineLevel="0" collapsed="false">
      <c r="A7" s="7" t="n">
        <f aca="false">SUMIFS(Data!$I$2:$I$601,Data!$C$2:$C$601,$C$4)</f>
        <v>13337500</v>
      </c>
      <c r="B7" s="7" t="n">
        <f aca="false">SUMIFS(Data!$J$2:$J$601,Data!$C$2:$C$601,$C$4)</f>
        <v>2799440</v>
      </c>
      <c r="C7" s="8" t="n">
        <f aca="false">IF(A7=0,0,B7/A7)</f>
        <v>0.209892408622306</v>
      </c>
      <c r="D7" s="7" t="n">
        <f aca="false">SUMIFS(Data!$F$2:$F$601,Data!$C$2:$C$601,$C$4)</f>
        <v>3711</v>
      </c>
      <c r="E7" s="7" t="n">
        <f aca="false">COUNTIFS(Data!$C$2:$C$601,$C$4)</f>
        <v>600</v>
      </c>
    </row>
    <row r="9" customFormat="false" ht="15" hidden="false" customHeight="false" outlineLevel="0" collapsed="false">
      <c r="A9" s="9" t="s">
        <v>10</v>
      </c>
    </row>
    <row r="10" customFormat="false" ht="15" hidden="false" customHeight="false" outlineLevel="0" collapsed="false">
      <c r="A10" s="10" t="s">
        <v>11</v>
      </c>
      <c r="B10" s="10" t="s">
        <v>12</v>
      </c>
      <c r="C10" s="10" t="s">
        <v>13</v>
      </c>
    </row>
    <row r="11" customFormat="false" ht="15" hidden="false" customHeight="false" outlineLevel="0" collapsed="false">
      <c r="A11" s="11" t="s">
        <v>14</v>
      </c>
      <c r="B11" s="12" t="n">
        <f aca="false">SUMIFS(Data!$I$2:$I$601,Data!$B$2:$B$601,ROW()-10,Data!$C$2:$C$601,$C$4)</f>
        <v>877300</v>
      </c>
      <c r="C11" s="12" t="n">
        <f aca="false">SUMIFS(Data!$J$2:$J$601,Data!$B$2:$B$601,ROW()-10,Data!$C$2:$C$601,$C$4)</f>
        <v>188520</v>
      </c>
    </row>
    <row r="12" customFormat="false" ht="15" hidden="false" customHeight="false" outlineLevel="0" collapsed="false">
      <c r="A12" s="11" t="s">
        <v>15</v>
      </c>
      <c r="B12" s="12" t="n">
        <f aca="false">SUMIFS(Data!$I$2:$I$601,Data!$B$2:$B$601,ROW()-10,Data!$C$2:$C$601,$C$4)</f>
        <v>619400</v>
      </c>
      <c r="C12" s="12" t="n">
        <f aca="false">SUMIFS(Data!$J$2:$J$601,Data!$B$2:$B$601,ROW()-10,Data!$C$2:$C$601,$C$4)</f>
        <v>135030</v>
      </c>
    </row>
    <row r="13" customFormat="false" ht="15" hidden="false" customHeight="false" outlineLevel="0" collapsed="false">
      <c r="A13" s="11" t="s">
        <v>16</v>
      </c>
      <c r="B13" s="12" t="n">
        <f aca="false">SUMIFS(Data!$I$2:$I$601,Data!$B$2:$B$601,ROW()-10,Data!$C$2:$C$601,$C$4)</f>
        <v>1078500</v>
      </c>
      <c r="C13" s="12" t="n">
        <f aca="false">SUMIFS(Data!$J$2:$J$601,Data!$B$2:$B$601,ROW()-10,Data!$C$2:$C$601,$C$4)</f>
        <v>225690</v>
      </c>
    </row>
    <row r="14" customFormat="false" ht="15" hidden="false" customHeight="false" outlineLevel="0" collapsed="false">
      <c r="A14" s="11" t="s">
        <v>17</v>
      </c>
      <c r="B14" s="12" t="n">
        <f aca="false">SUMIFS(Data!$I$2:$I$601,Data!$B$2:$B$601,ROW()-10,Data!$C$2:$C$601,$C$4)</f>
        <v>1019250</v>
      </c>
      <c r="C14" s="12" t="n">
        <f aca="false">SUMIFS(Data!$J$2:$J$601,Data!$B$2:$B$601,ROW()-10,Data!$C$2:$C$601,$C$4)</f>
        <v>223360</v>
      </c>
    </row>
    <row r="15" customFormat="false" ht="15" hidden="false" customHeight="false" outlineLevel="0" collapsed="false">
      <c r="A15" s="11" t="s">
        <v>18</v>
      </c>
      <c r="B15" s="12" t="n">
        <f aca="false">SUMIFS(Data!$I$2:$I$601,Data!$B$2:$B$601,ROW()-10,Data!$C$2:$C$601,$C$4)</f>
        <v>1435100</v>
      </c>
      <c r="C15" s="12" t="n">
        <f aca="false">SUMIFS(Data!$J$2:$J$601,Data!$B$2:$B$601,ROW()-10,Data!$C$2:$C$601,$C$4)</f>
        <v>289670</v>
      </c>
    </row>
    <row r="16" customFormat="false" ht="15" hidden="false" customHeight="false" outlineLevel="0" collapsed="false">
      <c r="A16" s="11" t="s">
        <v>19</v>
      </c>
      <c r="B16" s="12" t="n">
        <f aca="false">SUMIFS(Data!$I$2:$I$601,Data!$B$2:$B$601,ROW()-10,Data!$C$2:$C$601,$C$4)</f>
        <v>700200</v>
      </c>
      <c r="C16" s="12" t="n">
        <f aca="false">SUMIFS(Data!$J$2:$J$601,Data!$B$2:$B$601,ROW()-10,Data!$C$2:$C$601,$C$4)</f>
        <v>155630</v>
      </c>
    </row>
    <row r="17" customFormat="false" ht="15" hidden="false" customHeight="false" outlineLevel="0" collapsed="false">
      <c r="A17" s="11" t="s">
        <v>20</v>
      </c>
      <c r="B17" s="12" t="n">
        <f aca="false">SUMIFS(Data!$I$2:$I$601,Data!$B$2:$B$601,ROW()-10,Data!$C$2:$C$601,$C$4)</f>
        <v>1268400</v>
      </c>
      <c r="C17" s="12" t="n">
        <f aca="false">SUMIFS(Data!$J$2:$J$601,Data!$B$2:$B$601,ROW()-10,Data!$C$2:$C$601,$C$4)</f>
        <v>259910</v>
      </c>
    </row>
    <row r="18" customFormat="false" ht="15" hidden="false" customHeight="false" outlineLevel="0" collapsed="false">
      <c r="A18" s="11" t="s">
        <v>21</v>
      </c>
      <c r="B18" s="12" t="n">
        <f aca="false">SUMIFS(Data!$I$2:$I$601,Data!$B$2:$B$601,ROW()-10,Data!$C$2:$C$601,$C$4)</f>
        <v>1427550</v>
      </c>
      <c r="C18" s="12" t="n">
        <f aca="false">SUMIFS(Data!$J$2:$J$601,Data!$B$2:$B$601,ROW()-10,Data!$C$2:$C$601,$C$4)</f>
        <v>297780</v>
      </c>
    </row>
    <row r="19" customFormat="false" ht="15" hidden="false" customHeight="false" outlineLevel="0" collapsed="false">
      <c r="A19" s="11" t="s">
        <v>22</v>
      </c>
      <c r="B19" s="12" t="n">
        <f aca="false">SUMIFS(Data!$I$2:$I$601,Data!$B$2:$B$601,ROW()-10,Data!$C$2:$C$601,$C$4)</f>
        <v>1336200</v>
      </c>
      <c r="C19" s="12" t="n">
        <f aca="false">SUMIFS(Data!$J$2:$J$601,Data!$B$2:$B$601,ROW()-10,Data!$C$2:$C$601,$C$4)</f>
        <v>275280</v>
      </c>
    </row>
    <row r="20" customFormat="false" ht="15" hidden="false" customHeight="false" outlineLevel="0" collapsed="false">
      <c r="A20" s="11" t="s">
        <v>23</v>
      </c>
      <c r="B20" s="12" t="n">
        <f aca="false">SUMIFS(Data!$I$2:$I$601,Data!$B$2:$B$601,ROW()-10,Data!$C$2:$C$601,$C$4)</f>
        <v>1169650</v>
      </c>
      <c r="C20" s="12" t="n">
        <f aca="false">SUMIFS(Data!$J$2:$J$601,Data!$B$2:$B$601,ROW()-10,Data!$C$2:$C$601,$C$4)</f>
        <v>245060</v>
      </c>
    </row>
    <row r="21" customFormat="false" ht="15" hidden="false" customHeight="false" outlineLevel="0" collapsed="false">
      <c r="A21" s="11" t="s">
        <v>24</v>
      </c>
      <c r="B21" s="12" t="n">
        <f aca="false">SUMIFS(Data!$I$2:$I$601,Data!$B$2:$B$601,ROW()-10,Data!$C$2:$C$601,$C$4)</f>
        <v>1201900</v>
      </c>
      <c r="C21" s="12" t="n">
        <f aca="false">SUMIFS(Data!$J$2:$J$601,Data!$B$2:$B$601,ROW()-10,Data!$C$2:$C$601,$C$4)</f>
        <v>253790</v>
      </c>
    </row>
    <row r="22" customFormat="false" ht="15" hidden="false" customHeight="false" outlineLevel="0" collapsed="false">
      <c r="A22" s="11" t="s">
        <v>25</v>
      </c>
      <c r="B22" s="12" t="n">
        <f aca="false">SUMIFS(Data!$I$2:$I$601,Data!$B$2:$B$601,ROW()-10,Data!$C$2:$C$601,$C$4)</f>
        <v>1204050</v>
      </c>
      <c r="C22" s="12" t="n">
        <f aca="false">SUMIFS(Data!$J$2:$J$601,Data!$B$2:$B$601,ROW()-10,Data!$C$2:$C$601,$C$4)</f>
        <v>249720</v>
      </c>
    </row>
    <row r="24" customFormat="false" ht="15" hidden="false" customHeight="false" outlineLevel="0" collapsed="false">
      <c r="A24" s="9" t="s">
        <v>26</v>
      </c>
    </row>
    <row r="25" customFormat="false" ht="15" hidden="false" customHeight="false" outlineLevel="0" collapsed="false">
      <c r="A25" s="10" t="s">
        <v>27</v>
      </c>
      <c r="B25" s="10" t="s">
        <v>12</v>
      </c>
      <c r="C25" s="10" t="s">
        <v>13</v>
      </c>
      <c r="D25" s="10" t="s">
        <v>28</v>
      </c>
      <c r="E25" s="10" t="s">
        <v>29</v>
      </c>
    </row>
    <row r="26" customFormat="false" ht="15" hidden="false" customHeight="false" outlineLevel="0" collapsed="false">
      <c r="A26" s="11" t="s">
        <v>30</v>
      </c>
      <c r="B26" s="12" t="n">
        <f aca="false">SUMIFS(Data!$I$2:$I$601,Data!$D$2:$D$601,$A26,Data!$C$2:$C$601,$C$4)</f>
        <v>7899500</v>
      </c>
      <c r="C26" s="12" t="n">
        <f aca="false">SUMIFS(Data!$J$2:$J$601,Data!$D$2:$D$601,$A26,Data!$C$2:$C$601,$C$4)</f>
        <v>1494500</v>
      </c>
      <c r="D26" s="12" t="n">
        <f aca="false">SUMIFS(Data!$F$2:$F$601,Data!$D$2:$D$601,$A26,Data!$C$2:$C$601,$C$4)</f>
        <v>427</v>
      </c>
      <c r="E26" s="13" t="n">
        <f aca="false">IF($A$7=0,0,B26/$A$7)</f>
        <v>0.592277413308341</v>
      </c>
    </row>
    <row r="27" customFormat="false" ht="15" hidden="false" customHeight="false" outlineLevel="0" collapsed="false">
      <c r="A27" s="11" t="s">
        <v>31</v>
      </c>
      <c r="B27" s="12" t="n">
        <f aca="false">SUMIFS(Data!$I$2:$I$601,Data!$D$2:$D$601,$A27,Data!$C$2:$C$601,$C$4)</f>
        <v>2129400</v>
      </c>
      <c r="C27" s="12" t="n">
        <f aca="false">SUMIFS(Data!$J$2:$J$601,Data!$D$2:$D$601,$A27,Data!$C$2:$C$601,$C$4)</f>
        <v>456300</v>
      </c>
      <c r="D27" s="12" t="n">
        <f aca="false">SUMIFS(Data!$F$2:$F$601,Data!$D$2:$D$601,$A27,Data!$C$2:$C$601,$C$4)</f>
        <v>507</v>
      </c>
      <c r="E27" s="13" t="n">
        <f aca="false">IF($A$7=0,0,B27/$A$7)</f>
        <v>0.159655107778819</v>
      </c>
    </row>
    <row r="28" customFormat="false" ht="15" hidden="false" customHeight="false" outlineLevel="0" collapsed="false">
      <c r="A28" s="11" t="s">
        <v>32</v>
      </c>
      <c r="B28" s="12" t="n">
        <f aca="false">SUMIFS(Data!$I$2:$I$601,Data!$D$2:$D$601,$A28,Data!$C$2:$C$601,$C$4)</f>
        <v>1941800</v>
      </c>
      <c r="C28" s="12" t="n">
        <f aca="false">SUMIFS(Data!$J$2:$J$601,Data!$D$2:$D$601,$A28,Data!$C$2:$C$601,$C$4)</f>
        <v>408800</v>
      </c>
      <c r="D28" s="12" t="n">
        <f aca="false">SUMIFS(Data!$F$2:$F$601,Data!$D$2:$D$601,$A28,Data!$C$2:$C$601,$C$4)</f>
        <v>511</v>
      </c>
      <c r="E28" s="13" t="n">
        <f aca="false">IF($A$7=0,0,B28/$A$7)</f>
        <v>0.145589503280225</v>
      </c>
    </row>
    <row r="29" customFormat="false" ht="15" hidden="false" customHeight="false" outlineLevel="0" collapsed="false">
      <c r="A29" s="11" t="s">
        <v>33</v>
      </c>
      <c r="B29" s="12" t="n">
        <f aca="false">SUMIFS(Data!$I$2:$I$601,Data!$D$2:$D$601,$A29,Data!$C$2:$C$601,$C$4)</f>
        <v>256050</v>
      </c>
      <c r="C29" s="12" t="n">
        <f aca="false">SUMIFS(Data!$J$2:$J$601,Data!$D$2:$D$601,$A29,Data!$C$2:$C$601,$C$4)</f>
        <v>96730</v>
      </c>
      <c r="D29" s="12" t="n">
        <f aca="false">SUMIFS(Data!$F$2:$F$601,Data!$D$2:$D$601,$A29,Data!$C$2:$C$601,$C$4)</f>
        <v>569</v>
      </c>
      <c r="E29" s="13" t="n">
        <f aca="false">IF($A$7=0,0,B29/$A$7)</f>
        <v>0.0191977507029053</v>
      </c>
    </row>
    <row r="30" customFormat="false" ht="15" hidden="false" customHeight="false" outlineLevel="0" collapsed="false">
      <c r="A30" s="11" t="s">
        <v>34</v>
      </c>
      <c r="B30" s="12" t="n">
        <f aca="false">SUMIFS(Data!$I$2:$I$601,Data!$D$2:$D$601,$A30,Data!$C$2:$C$601,$C$4)</f>
        <v>109750</v>
      </c>
      <c r="C30" s="12" t="n">
        <f aca="false">SUMIFS(Data!$J$2:$J$601,Data!$D$2:$D$601,$A30,Data!$C$2:$C$601,$C$4)</f>
        <v>48290</v>
      </c>
      <c r="D30" s="12" t="n">
        <f aca="false">SUMIFS(Data!$F$2:$F$601,Data!$D$2:$D$601,$A30,Data!$C$2:$C$601,$C$4)</f>
        <v>439</v>
      </c>
      <c r="E30" s="13" t="n">
        <f aca="false">IF($A$7=0,0,B30/$A$7)</f>
        <v>0.00822867853795689</v>
      </c>
    </row>
    <row r="31" customFormat="false" ht="15" hidden="false" customHeight="false" outlineLevel="0" collapsed="false">
      <c r="A31" s="11" t="s">
        <v>35</v>
      </c>
      <c r="B31" s="12" t="n">
        <f aca="false">SUMIFS(Data!$I$2:$I$601,Data!$D$2:$D$601,$A31,Data!$C$2:$C$601,$C$4)</f>
        <v>541800</v>
      </c>
      <c r="C31" s="12" t="n">
        <f aca="false">SUMIFS(Data!$J$2:$J$601,Data!$D$2:$D$601,$A31,Data!$C$2:$C$601,$C$4)</f>
        <v>150500</v>
      </c>
      <c r="D31" s="12" t="n">
        <f aca="false">SUMIFS(Data!$F$2:$F$601,Data!$D$2:$D$601,$A31,Data!$C$2:$C$601,$C$4)</f>
        <v>602</v>
      </c>
      <c r="E31" s="13" t="n">
        <f aca="false">IF($A$7=0,0,B31/$A$7)</f>
        <v>0.040622305529522</v>
      </c>
    </row>
    <row r="32" customFormat="false" ht="15" hidden="false" customHeight="false" outlineLevel="0" collapsed="false">
      <c r="A32" s="11" t="s">
        <v>36</v>
      </c>
      <c r="B32" s="12" t="n">
        <f aca="false">SUMIFS(Data!$I$2:$I$601,Data!$D$2:$D$601,$A32,Data!$C$2:$C$601,$C$4)</f>
        <v>459200</v>
      </c>
      <c r="C32" s="12" t="n">
        <f aca="false">SUMIFS(Data!$J$2:$J$601,Data!$D$2:$D$601,$A32,Data!$C$2:$C$601,$C$4)</f>
        <v>144320</v>
      </c>
      <c r="D32" s="12" t="n">
        <f aca="false">SUMIFS(Data!$F$2:$F$601,Data!$D$2:$D$601,$A32,Data!$C$2:$C$601,$C$4)</f>
        <v>656</v>
      </c>
      <c r="E32" s="13" t="n">
        <f aca="false">IF($A$7=0,0,B32/$A$7)</f>
        <v>0.0344292408622306</v>
      </c>
    </row>
    <row r="34" customFormat="false" ht="15" hidden="false" customHeight="false" outlineLevel="0" collapsed="false">
      <c r="A34" s="9" t="s">
        <v>37</v>
      </c>
    </row>
    <row r="35" customFormat="false" ht="15" hidden="false" customHeight="false" outlineLevel="0" collapsed="false">
      <c r="A35" s="10" t="s">
        <v>38</v>
      </c>
      <c r="B35" s="10" t="s">
        <v>12</v>
      </c>
      <c r="C35" s="10" t="s">
        <v>13</v>
      </c>
      <c r="D35" s="10" t="s">
        <v>39</v>
      </c>
    </row>
    <row r="36" customFormat="false" ht="15" hidden="false" customHeight="false" outlineLevel="0" collapsed="false">
      <c r="A36" s="11" t="s">
        <v>40</v>
      </c>
      <c r="B36" s="12" t="n">
        <f aca="false">SUMIFS(Data!$I$2:$I$601,Data!$C$2:$C$601,$A36)</f>
        <v>3448900</v>
      </c>
      <c r="C36" s="12" t="n">
        <f aca="false">SUMIFS(Data!$J$2:$J$601,Data!$C$2:$C$601,$A36)</f>
        <v>721360</v>
      </c>
      <c r="D36" s="13" t="n">
        <f aca="false">IF(B36=0,0,C36/B36)</f>
        <v>0.209156542665778</v>
      </c>
    </row>
    <row r="37" customFormat="false" ht="15" hidden="false" customHeight="false" outlineLevel="0" collapsed="false">
      <c r="A37" s="11" t="s">
        <v>41</v>
      </c>
      <c r="B37" s="12" t="n">
        <f aca="false">SUMIFS(Data!$I$2:$I$601,Data!$C$2:$C$601,$A37)</f>
        <v>3394950</v>
      </c>
      <c r="C37" s="12" t="n">
        <f aca="false">SUMIFS(Data!$J$2:$J$601,Data!$C$2:$C$601,$A37)</f>
        <v>716980</v>
      </c>
      <c r="D37" s="13" t="n">
        <f aca="false">IF(B37=0,0,C37/B37)</f>
        <v>0.211190150075848</v>
      </c>
    </row>
    <row r="38" customFormat="false" ht="15" hidden="false" customHeight="false" outlineLevel="0" collapsed="false">
      <c r="A38" s="11" t="s">
        <v>42</v>
      </c>
      <c r="B38" s="12" t="n">
        <f aca="false">SUMIFS(Data!$I$2:$I$601,Data!$C$2:$C$601,$A38)</f>
        <v>2829200</v>
      </c>
      <c r="C38" s="12" t="n">
        <f aca="false">SUMIFS(Data!$J$2:$J$601,Data!$C$2:$C$601,$A38)</f>
        <v>594640</v>
      </c>
      <c r="D38" s="13" t="n">
        <f aca="false">IF(B38=0,0,C38/B38)</f>
        <v>0.21017955605825</v>
      </c>
    </row>
    <row r="39" customFormat="false" ht="15" hidden="false" customHeight="false" outlineLevel="0" collapsed="false">
      <c r="A39" s="11" t="s">
        <v>43</v>
      </c>
      <c r="B39" s="12" t="n">
        <f aca="false">SUMIFS(Data!$I$2:$I$601,Data!$C$2:$C$601,$A39)</f>
        <v>3664450</v>
      </c>
      <c r="C39" s="12" t="n">
        <f aca="false">SUMIFS(Data!$J$2:$J$601,Data!$C$2:$C$601,$A39)</f>
        <v>766460</v>
      </c>
      <c r="D39" s="13" t="n">
        <f aca="false">IF(B39=0,0,C39/B39)</f>
        <v>0.209160992782</v>
      </c>
    </row>
    <row r="40" customFormat="false" ht="15" hidden="false" customHeight="false" outlineLevel="0" collapsed="false">
      <c r="A40" s="3" t="s">
        <v>44</v>
      </c>
      <c r="B40" s="14" t="str">
        <f aca="false">INDEX(A36:A39,MATCH(MAX(B36:B39),B36:B39,0))</f>
        <v>Mansoura</v>
      </c>
    </row>
  </sheetData>
  <conditionalFormatting sqref="B26:B32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{803B909F-C81D-4C15-9C5C-BB4F50D379EB}</x14:id>
        </ext>
      </extLst>
    </cfRule>
  </conditionalFormatting>
  <dataValidations count="1">
    <dataValidation allowBlank="false" errorStyle="stop" operator="between" showDropDown="false" showErrorMessage="false" showInputMessage="false" sqref="B4" type="list">
      <formula1>"All,Cairo,Alexandria,Giza,Mansoura"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B909F-C81D-4C15-9C5C-BB4F50D379EB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B26:B32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10" min="9" style="0" width="13"/>
  </cols>
  <sheetData>
    <row r="1" customFormat="false" ht="15" hidden="false" customHeight="false" outlineLevel="0" collapsed="false">
      <c r="A1" s="10" t="s">
        <v>45</v>
      </c>
      <c r="B1" s="10" t="s">
        <v>11</v>
      </c>
      <c r="C1" s="10" t="s">
        <v>38</v>
      </c>
      <c r="D1" s="10" t="s">
        <v>27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12</v>
      </c>
      <c r="J1" s="10" t="s">
        <v>13</v>
      </c>
    </row>
    <row r="2" customFormat="false" ht="15" hidden="false" customHeight="false" outlineLevel="0" collapsed="false">
      <c r="A2" s="15" t="n">
        <v>46237</v>
      </c>
      <c r="B2" s="16" t="n">
        <f aca="false">MONTH(A2)</f>
        <v>8</v>
      </c>
      <c r="C2" s="16" t="s">
        <v>43</v>
      </c>
      <c r="D2" s="16" t="s">
        <v>31</v>
      </c>
      <c r="E2" s="16" t="s">
        <v>50</v>
      </c>
      <c r="F2" s="16" t="n">
        <v>11</v>
      </c>
      <c r="G2" s="17" t="n">
        <v>4200</v>
      </c>
      <c r="H2" s="17" t="n">
        <v>3300</v>
      </c>
      <c r="I2" s="17" t="n">
        <f aca="false">F2*G2</f>
        <v>46200</v>
      </c>
      <c r="J2" s="17" t="n">
        <f aca="false">F2*(G2-H2)</f>
        <v>9900</v>
      </c>
    </row>
    <row r="3" customFormat="false" ht="15" hidden="false" customHeight="false" outlineLevel="0" collapsed="false">
      <c r="A3" s="15" t="n">
        <v>46268</v>
      </c>
      <c r="B3" s="16" t="n">
        <f aca="false">MONTH(A3)</f>
        <v>9</v>
      </c>
      <c r="C3" s="16" t="s">
        <v>41</v>
      </c>
      <c r="D3" s="16" t="s">
        <v>32</v>
      </c>
      <c r="E3" s="16" t="s">
        <v>50</v>
      </c>
      <c r="F3" s="16" t="n">
        <v>8</v>
      </c>
      <c r="G3" s="17" t="n">
        <v>3800</v>
      </c>
      <c r="H3" s="17" t="n">
        <v>3000</v>
      </c>
      <c r="I3" s="17" t="n">
        <f aca="false">F3*G3</f>
        <v>30400</v>
      </c>
      <c r="J3" s="17" t="n">
        <f aca="false">F3*(G3-H3)</f>
        <v>6400</v>
      </c>
    </row>
    <row r="4" customFormat="false" ht="15" hidden="false" customHeight="false" outlineLevel="0" collapsed="false">
      <c r="A4" s="15" t="n">
        <v>46285</v>
      </c>
      <c r="B4" s="16" t="n">
        <f aca="false">MONTH(A4)</f>
        <v>9</v>
      </c>
      <c r="C4" s="16" t="s">
        <v>41</v>
      </c>
      <c r="D4" s="16" t="s">
        <v>36</v>
      </c>
      <c r="E4" s="16" t="s">
        <v>51</v>
      </c>
      <c r="F4" s="16" t="n">
        <v>9</v>
      </c>
      <c r="G4" s="17" t="n">
        <v>700</v>
      </c>
      <c r="H4" s="17" t="n">
        <v>480</v>
      </c>
      <c r="I4" s="17" t="n">
        <f aca="false">F4*G4</f>
        <v>6300</v>
      </c>
      <c r="J4" s="17" t="n">
        <f aca="false">F4*(G4-H4)</f>
        <v>1980</v>
      </c>
    </row>
    <row r="5" customFormat="false" ht="15" hidden="false" customHeight="false" outlineLevel="0" collapsed="false">
      <c r="A5" s="15" t="n">
        <v>46143</v>
      </c>
      <c r="B5" s="16" t="n">
        <f aca="false">MONTH(A5)</f>
        <v>5</v>
      </c>
      <c r="C5" s="16" t="s">
        <v>40</v>
      </c>
      <c r="D5" s="16" t="s">
        <v>34</v>
      </c>
      <c r="E5" s="16" t="s">
        <v>51</v>
      </c>
      <c r="F5" s="16" t="n">
        <v>1</v>
      </c>
      <c r="G5" s="17" t="n">
        <v>250</v>
      </c>
      <c r="H5" s="17" t="n">
        <v>140</v>
      </c>
      <c r="I5" s="17" t="n">
        <f aca="false">F5*G5</f>
        <v>250</v>
      </c>
      <c r="J5" s="17" t="n">
        <f aca="false">F5*(G5-H5)</f>
        <v>110</v>
      </c>
    </row>
    <row r="6" customFormat="false" ht="15" hidden="false" customHeight="false" outlineLevel="0" collapsed="false">
      <c r="A6" s="15" t="n">
        <v>46322</v>
      </c>
      <c r="B6" s="16" t="n">
        <f aca="false">MONTH(A6)</f>
        <v>10</v>
      </c>
      <c r="C6" s="16" t="s">
        <v>43</v>
      </c>
      <c r="D6" s="16" t="s">
        <v>32</v>
      </c>
      <c r="E6" s="16" t="s">
        <v>50</v>
      </c>
      <c r="F6" s="16" t="n">
        <v>2</v>
      </c>
      <c r="G6" s="17" t="n">
        <v>3800</v>
      </c>
      <c r="H6" s="17" t="n">
        <v>3000</v>
      </c>
      <c r="I6" s="17" t="n">
        <f aca="false">F6*G6</f>
        <v>7600</v>
      </c>
      <c r="J6" s="17" t="n">
        <f aca="false">F6*(G6-H6)</f>
        <v>1600</v>
      </c>
    </row>
    <row r="7" customFormat="false" ht="15" hidden="false" customHeight="false" outlineLevel="0" collapsed="false">
      <c r="A7" s="15" t="n">
        <v>46141</v>
      </c>
      <c r="B7" s="16" t="n">
        <f aca="false">MONTH(A7)</f>
        <v>4</v>
      </c>
      <c r="C7" s="16" t="s">
        <v>41</v>
      </c>
      <c r="D7" s="16" t="s">
        <v>31</v>
      </c>
      <c r="E7" s="16" t="s">
        <v>50</v>
      </c>
      <c r="F7" s="16" t="n">
        <v>12</v>
      </c>
      <c r="G7" s="17" t="n">
        <v>4200</v>
      </c>
      <c r="H7" s="17" t="n">
        <v>3300</v>
      </c>
      <c r="I7" s="17" t="n">
        <f aca="false">F7*G7</f>
        <v>50400</v>
      </c>
      <c r="J7" s="17" t="n">
        <f aca="false">F7*(G7-H7)</f>
        <v>10800</v>
      </c>
    </row>
    <row r="8" customFormat="false" ht="15" hidden="false" customHeight="false" outlineLevel="0" collapsed="false">
      <c r="A8" s="15" t="n">
        <v>46246</v>
      </c>
      <c r="B8" s="16" t="n">
        <f aca="false">MONTH(A8)</f>
        <v>8</v>
      </c>
      <c r="C8" s="16" t="s">
        <v>43</v>
      </c>
      <c r="D8" s="16" t="s">
        <v>30</v>
      </c>
      <c r="E8" s="16" t="s">
        <v>50</v>
      </c>
      <c r="F8" s="16" t="n">
        <v>10</v>
      </c>
      <c r="G8" s="17" t="n">
        <v>18500</v>
      </c>
      <c r="H8" s="17" t="n">
        <v>15000</v>
      </c>
      <c r="I8" s="17" t="n">
        <f aca="false">F8*G8</f>
        <v>185000</v>
      </c>
      <c r="J8" s="17" t="n">
        <f aca="false">F8*(G8-H8)</f>
        <v>35000</v>
      </c>
    </row>
    <row r="9" customFormat="false" ht="15" hidden="false" customHeight="false" outlineLevel="0" collapsed="false">
      <c r="A9" s="15" t="n">
        <v>46040</v>
      </c>
      <c r="B9" s="16" t="n">
        <f aca="false">MONTH(A9)</f>
        <v>1</v>
      </c>
      <c r="C9" s="16" t="s">
        <v>42</v>
      </c>
      <c r="D9" s="16" t="s">
        <v>33</v>
      </c>
      <c r="E9" s="16" t="s">
        <v>51</v>
      </c>
      <c r="F9" s="16" t="n">
        <v>9</v>
      </c>
      <c r="G9" s="17" t="n">
        <v>450</v>
      </c>
      <c r="H9" s="17" t="n">
        <v>280</v>
      </c>
      <c r="I9" s="17" t="n">
        <f aca="false">F9*G9</f>
        <v>4050</v>
      </c>
      <c r="J9" s="17" t="n">
        <f aca="false">F9*(G9-H9)</f>
        <v>1530</v>
      </c>
    </row>
    <row r="10" customFormat="false" ht="15" hidden="false" customHeight="false" outlineLevel="0" collapsed="false">
      <c r="A10" s="15" t="n">
        <v>46378</v>
      </c>
      <c r="B10" s="16" t="n">
        <f aca="false">MONTH(A10)</f>
        <v>12</v>
      </c>
      <c r="C10" s="16" t="s">
        <v>40</v>
      </c>
      <c r="D10" s="16" t="s">
        <v>33</v>
      </c>
      <c r="E10" s="16" t="s">
        <v>51</v>
      </c>
      <c r="F10" s="16" t="n">
        <v>11</v>
      </c>
      <c r="G10" s="17" t="n">
        <v>450</v>
      </c>
      <c r="H10" s="17" t="n">
        <v>280</v>
      </c>
      <c r="I10" s="17" t="n">
        <f aca="false">F10*G10</f>
        <v>4950</v>
      </c>
      <c r="J10" s="17" t="n">
        <f aca="false">F10*(G10-H10)</f>
        <v>1870</v>
      </c>
    </row>
    <row r="11" customFormat="false" ht="15" hidden="false" customHeight="false" outlineLevel="0" collapsed="false">
      <c r="A11" s="15" t="n">
        <v>46034</v>
      </c>
      <c r="B11" s="16" t="n">
        <f aca="false">MONTH(A11)</f>
        <v>1</v>
      </c>
      <c r="C11" s="16" t="s">
        <v>41</v>
      </c>
      <c r="D11" s="16" t="s">
        <v>32</v>
      </c>
      <c r="E11" s="16" t="s">
        <v>50</v>
      </c>
      <c r="F11" s="16" t="n">
        <v>12</v>
      </c>
      <c r="G11" s="17" t="n">
        <v>3800</v>
      </c>
      <c r="H11" s="17" t="n">
        <v>3000</v>
      </c>
      <c r="I11" s="17" t="n">
        <f aca="false">F11*G11</f>
        <v>45600</v>
      </c>
      <c r="J11" s="17" t="n">
        <f aca="false">F11*(G11-H11)</f>
        <v>9600</v>
      </c>
    </row>
    <row r="12" customFormat="false" ht="15" hidden="false" customHeight="false" outlineLevel="0" collapsed="false">
      <c r="A12" s="15" t="n">
        <v>46068</v>
      </c>
      <c r="B12" s="16" t="n">
        <f aca="false">MONTH(A12)</f>
        <v>2</v>
      </c>
      <c r="C12" s="16" t="s">
        <v>40</v>
      </c>
      <c r="D12" s="16" t="s">
        <v>36</v>
      </c>
      <c r="E12" s="16" t="s">
        <v>51</v>
      </c>
      <c r="F12" s="16" t="n">
        <v>1</v>
      </c>
      <c r="G12" s="17" t="n">
        <v>700</v>
      </c>
      <c r="H12" s="17" t="n">
        <v>480</v>
      </c>
      <c r="I12" s="17" t="n">
        <f aca="false">F12*G12</f>
        <v>700</v>
      </c>
      <c r="J12" s="17" t="n">
        <f aca="false">F12*(G12-H12)</f>
        <v>220</v>
      </c>
    </row>
    <row r="13" customFormat="false" ht="15" hidden="false" customHeight="false" outlineLevel="0" collapsed="false">
      <c r="A13" s="15" t="n">
        <v>46105</v>
      </c>
      <c r="B13" s="16" t="n">
        <f aca="false">MONTH(A13)</f>
        <v>3</v>
      </c>
      <c r="C13" s="16" t="s">
        <v>42</v>
      </c>
      <c r="D13" s="16" t="s">
        <v>33</v>
      </c>
      <c r="E13" s="16" t="s">
        <v>51</v>
      </c>
      <c r="F13" s="16" t="n">
        <v>7</v>
      </c>
      <c r="G13" s="17" t="n">
        <v>450</v>
      </c>
      <c r="H13" s="17" t="n">
        <v>280</v>
      </c>
      <c r="I13" s="17" t="n">
        <f aca="false">F13*G13</f>
        <v>3150</v>
      </c>
      <c r="J13" s="17" t="n">
        <f aca="false">F13*(G13-H13)</f>
        <v>1190</v>
      </c>
    </row>
    <row r="14" customFormat="false" ht="15" hidden="false" customHeight="false" outlineLevel="0" collapsed="false">
      <c r="A14" s="15" t="n">
        <v>46100</v>
      </c>
      <c r="B14" s="16" t="n">
        <f aca="false">MONTH(A14)</f>
        <v>3</v>
      </c>
      <c r="C14" s="16" t="s">
        <v>41</v>
      </c>
      <c r="D14" s="16" t="s">
        <v>33</v>
      </c>
      <c r="E14" s="16" t="s">
        <v>51</v>
      </c>
      <c r="F14" s="16" t="n">
        <v>11</v>
      </c>
      <c r="G14" s="17" t="n">
        <v>450</v>
      </c>
      <c r="H14" s="17" t="n">
        <v>280</v>
      </c>
      <c r="I14" s="17" t="n">
        <f aca="false">F14*G14</f>
        <v>4950</v>
      </c>
      <c r="J14" s="17" t="n">
        <f aca="false">F14*(G14-H14)</f>
        <v>1870</v>
      </c>
    </row>
    <row r="15" customFormat="false" ht="15" hidden="false" customHeight="false" outlineLevel="0" collapsed="false">
      <c r="A15" s="15" t="n">
        <v>46263</v>
      </c>
      <c r="B15" s="16" t="n">
        <f aca="false">MONTH(A15)</f>
        <v>8</v>
      </c>
      <c r="C15" s="16" t="s">
        <v>41</v>
      </c>
      <c r="D15" s="16" t="s">
        <v>30</v>
      </c>
      <c r="E15" s="16" t="s">
        <v>50</v>
      </c>
      <c r="F15" s="16" t="n">
        <v>2</v>
      </c>
      <c r="G15" s="17" t="n">
        <v>18500</v>
      </c>
      <c r="H15" s="17" t="n">
        <v>15000</v>
      </c>
      <c r="I15" s="17" t="n">
        <f aca="false">F15*G15</f>
        <v>37000</v>
      </c>
      <c r="J15" s="17" t="n">
        <f aca="false">F15*(G15-H15)</f>
        <v>7000</v>
      </c>
    </row>
    <row r="16" customFormat="false" ht="15" hidden="false" customHeight="false" outlineLevel="0" collapsed="false">
      <c r="A16" s="15" t="n">
        <v>46124</v>
      </c>
      <c r="B16" s="16" t="n">
        <f aca="false">MONTH(A16)</f>
        <v>4</v>
      </c>
      <c r="C16" s="16" t="s">
        <v>41</v>
      </c>
      <c r="D16" s="16" t="s">
        <v>36</v>
      </c>
      <c r="E16" s="16" t="s">
        <v>51</v>
      </c>
      <c r="F16" s="16" t="n">
        <v>11</v>
      </c>
      <c r="G16" s="17" t="n">
        <v>700</v>
      </c>
      <c r="H16" s="17" t="n">
        <v>480</v>
      </c>
      <c r="I16" s="17" t="n">
        <f aca="false">F16*G16</f>
        <v>7700</v>
      </c>
      <c r="J16" s="17" t="n">
        <f aca="false">F16*(G16-H16)</f>
        <v>2420</v>
      </c>
    </row>
    <row r="17" customFormat="false" ht="15" hidden="false" customHeight="false" outlineLevel="0" collapsed="false">
      <c r="A17" s="15" t="n">
        <v>46359</v>
      </c>
      <c r="B17" s="16" t="n">
        <f aca="false">MONTH(A17)</f>
        <v>12</v>
      </c>
      <c r="C17" s="16" t="s">
        <v>40</v>
      </c>
      <c r="D17" s="16" t="s">
        <v>36</v>
      </c>
      <c r="E17" s="16" t="s">
        <v>51</v>
      </c>
      <c r="F17" s="16" t="n">
        <v>2</v>
      </c>
      <c r="G17" s="17" t="n">
        <v>700</v>
      </c>
      <c r="H17" s="17" t="n">
        <v>480</v>
      </c>
      <c r="I17" s="17" t="n">
        <f aca="false">F17*G17</f>
        <v>1400</v>
      </c>
      <c r="J17" s="17" t="n">
        <f aca="false">F17*(G17-H17)</f>
        <v>440</v>
      </c>
    </row>
    <row r="18" customFormat="false" ht="15" hidden="false" customHeight="false" outlineLevel="0" collapsed="false">
      <c r="A18" s="15" t="n">
        <v>46266</v>
      </c>
      <c r="B18" s="16" t="n">
        <f aca="false">MONTH(A18)</f>
        <v>9</v>
      </c>
      <c r="C18" s="16" t="s">
        <v>43</v>
      </c>
      <c r="D18" s="16" t="s">
        <v>34</v>
      </c>
      <c r="E18" s="16" t="s">
        <v>51</v>
      </c>
      <c r="F18" s="16" t="n">
        <v>4</v>
      </c>
      <c r="G18" s="17" t="n">
        <v>250</v>
      </c>
      <c r="H18" s="17" t="n">
        <v>140</v>
      </c>
      <c r="I18" s="17" t="n">
        <f aca="false">F18*G18</f>
        <v>1000</v>
      </c>
      <c r="J18" s="17" t="n">
        <f aca="false">F18*(G18-H18)</f>
        <v>440</v>
      </c>
    </row>
    <row r="19" customFormat="false" ht="15" hidden="false" customHeight="false" outlineLevel="0" collapsed="false">
      <c r="A19" s="15" t="n">
        <v>46097</v>
      </c>
      <c r="B19" s="16" t="n">
        <f aca="false">MONTH(A19)</f>
        <v>3</v>
      </c>
      <c r="C19" s="16" t="s">
        <v>43</v>
      </c>
      <c r="D19" s="16" t="s">
        <v>32</v>
      </c>
      <c r="E19" s="16" t="s">
        <v>50</v>
      </c>
      <c r="F19" s="16" t="n">
        <v>5</v>
      </c>
      <c r="G19" s="17" t="n">
        <v>3800</v>
      </c>
      <c r="H19" s="17" t="n">
        <v>3000</v>
      </c>
      <c r="I19" s="17" t="n">
        <f aca="false">F19*G19</f>
        <v>19000</v>
      </c>
      <c r="J19" s="17" t="n">
        <f aca="false">F19*(G19-H19)</f>
        <v>4000</v>
      </c>
    </row>
    <row r="20" customFormat="false" ht="15" hidden="false" customHeight="false" outlineLevel="0" collapsed="false">
      <c r="A20" s="15" t="n">
        <v>46254</v>
      </c>
      <c r="B20" s="16" t="n">
        <f aca="false">MONTH(A20)</f>
        <v>8</v>
      </c>
      <c r="C20" s="16" t="s">
        <v>43</v>
      </c>
      <c r="D20" s="16" t="s">
        <v>32</v>
      </c>
      <c r="E20" s="16" t="s">
        <v>50</v>
      </c>
      <c r="F20" s="16" t="n">
        <v>6</v>
      </c>
      <c r="G20" s="17" t="n">
        <v>3800</v>
      </c>
      <c r="H20" s="17" t="n">
        <v>3000</v>
      </c>
      <c r="I20" s="17" t="n">
        <f aca="false">F20*G20</f>
        <v>22800</v>
      </c>
      <c r="J20" s="17" t="n">
        <f aca="false">F20*(G20-H20)</f>
        <v>4800</v>
      </c>
    </row>
    <row r="21" customFormat="false" ht="15" hidden="false" customHeight="false" outlineLevel="0" collapsed="false">
      <c r="A21" s="15" t="n">
        <v>46220</v>
      </c>
      <c r="B21" s="16" t="n">
        <f aca="false">MONTH(A21)</f>
        <v>7</v>
      </c>
      <c r="C21" s="16" t="s">
        <v>42</v>
      </c>
      <c r="D21" s="16" t="s">
        <v>33</v>
      </c>
      <c r="E21" s="16" t="s">
        <v>51</v>
      </c>
      <c r="F21" s="16" t="n">
        <v>1</v>
      </c>
      <c r="G21" s="17" t="n">
        <v>450</v>
      </c>
      <c r="H21" s="17" t="n">
        <v>280</v>
      </c>
      <c r="I21" s="17" t="n">
        <f aca="false">F21*G21</f>
        <v>450</v>
      </c>
      <c r="J21" s="17" t="n">
        <f aca="false">F21*(G21-H21)</f>
        <v>170</v>
      </c>
    </row>
    <row r="22" customFormat="false" ht="15" hidden="false" customHeight="false" outlineLevel="0" collapsed="false">
      <c r="A22" s="15" t="n">
        <v>46070</v>
      </c>
      <c r="B22" s="16" t="n">
        <f aca="false">MONTH(A22)</f>
        <v>2</v>
      </c>
      <c r="C22" s="16" t="s">
        <v>41</v>
      </c>
      <c r="D22" s="16" t="s">
        <v>36</v>
      </c>
      <c r="E22" s="16" t="s">
        <v>51</v>
      </c>
      <c r="F22" s="16" t="n">
        <v>12</v>
      </c>
      <c r="G22" s="17" t="n">
        <v>700</v>
      </c>
      <c r="H22" s="17" t="n">
        <v>480</v>
      </c>
      <c r="I22" s="17" t="n">
        <f aca="false">F22*G22</f>
        <v>8400</v>
      </c>
      <c r="J22" s="17" t="n">
        <f aca="false">F22*(G22-H22)</f>
        <v>2640</v>
      </c>
    </row>
    <row r="23" customFormat="false" ht="15" hidden="false" customHeight="false" outlineLevel="0" collapsed="false">
      <c r="A23" s="15" t="n">
        <v>46276</v>
      </c>
      <c r="B23" s="16" t="n">
        <f aca="false">MONTH(A23)</f>
        <v>9</v>
      </c>
      <c r="C23" s="16" t="s">
        <v>40</v>
      </c>
      <c r="D23" s="16" t="s">
        <v>35</v>
      </c>
      <c r="E23" s="16" t="s">
        <v>52</v>
      </c>
      <c r="F23" s="16" t="n">
        <v>8</v>
      </c>
      <c r="G23" s="17" t="n">
        <v>900</v>
      </c>
      <c r="H23" s="17" t="n">
        <v>650</v>
      </c>
      <c r="I23" s="17" t="n">
        <f aca="false">F23*G23</f>
        <v>7200</v>
      </c>
      <c r="J23" s="17" t="n">
        <f aca="false">F23*(G23-H23)</f>
        <v>2000</v>
      </c>
    </row>
    <row r="24" customFormat="false" ht="15" hidden="false" customHeight="false" outlineLevel="0" collapsed="false">
      <c r="A24" s="15" t="n">
        <v>46304</v>
      </c>
      <c r="B24" s="16" t="n">
        <f aca="false">MONTH(A24)</f>
        <v>10</v>
      </c>
      <c r="C24" s="16" t="s">
        <v>41</v>
      </c>
      <c r="D24" s="16" t="s">
        <v>30</v>
      </c>
      <c r="E24" s="16" t="s">
        <v>50</v>
      </c>
      <c r="F24" s="16" t="n">
        <v>10</v>
      </c>
      <c r="G24" s="17" t="n">
        <v>18500</v>
      </c>
      <c r="H24" s="17" t="n">
        <v>15000</v>
      </c>
      <c r="I24" s="17" t="n">
        <f aca="false">F24*G24</f>
        <v>185000</v>
      </c>
      <c r="J24" s="17" t="n">
        <f aca="false">F24*(G24-H24)</f>
        <v>35000</v>
      </c>
    </row>
    <row r="25" customFormat="false" ht="15" hidden="false" customHeight="false" outlineLevel="0" collapsed="false">
      <c r="A25" s="15" t="n">
        <v>46186</v>
      </c>
      <c r="B25" s="16" t="n">
        <f aca="false">MONTH(A25)</f>
        <v>6</v>
      </c>
      <c r="C25" s="16" t="s">
        <v>40</v>
      </c>
      <c r="D25" s="16" t="s">
        <v>34</v>
      </c>
      <c r="E25" s="16" t="s">
        <v>51</v>
      </c>
      <c r="F25" s="16" t="n">
        <v>3</v>
      </c>
      <c r="G25" s="17" t="n">
        <v>250</v>
      </c>
      <c r="H25" s="17" t="n">
        <v>140</v>
      </c>
      <c r="I25" s="17" t="n">
        <f aca="false">F25*G25</f>
        <v>750</v>
      </c>
      <c r="J25" s="17" t="n">
        <f aca="false">F25*(G25-H25)</f>
        <v>330</v>
      </c>
    </row>
    <row r="26" customFormat="false" ht="15" hidden="false" customHeight="false" outlineLevel="0" collapsed="false">
      <c r="A26" s="15" t="n">
        <v>46110</v>
      </c>
      <c r="B26" s="16" t="n">
        <f aca="false">MONTH(A26)</f>
        <v>3</v>
      </c>
      <c r="C26" s="16" t="s">
        <v>42</v>
      </c>
      <c r="D26" s="16" t="s">
        <v>35</v>
      </c>
      <c r="E26" s="16" t="s">
        <v>52</v>
      </c>
      <c r="F26" s="16" t="n">
        <v>6</v>
      </c>
      <c r="G26" s="17" t="n">
        <v>900</v>
      </c>
      <c r="H26" s="17" t="n">
        <v>650</v>
      </c>
      <c r="I26" s="17" t="n">
        <f aca="false">F26*G26</f>
        <v>5400</v>
      </c>
      <c r="J26" s="17" t="n">
        <f aca="false">F26*(G26-H26)</f>
        <v>1500</v>
      </c>
    </row>
    <row r="27" customFormat="false" ht="15" hidden="false" customHeight="false" outlineLevel="0" collapsed="false">
      <c r="A27" s="15" t="n">
        <v>46328</v>
      </c>
      <c r="B27" s="16" t="n">
        <f aca="false">MONTH(A27)</f>
        <v>11</v>
      </c>
      <c r="C27" s="16" t="s">
        <v>42</v>
      </c>
      <c r="D27" s="16" t="s">
        <v>32</v>
      </c>
      <c r="E27" s="16" t="s">
        <v>50</v>
      </c>
      <c r="F27" s="16" t="n">
        <v>4</v>
      </c>
      <c r="G27" s="17" t="n">
        <v>3800</v>
      </c>
      <c r="H27" s="17" t="n">
        <v>3000</v>
      </c>
      <c r="I27" s="17" t="n">
        <f aca="false">F27*G27</f>
        <v>15200</v>
      </c>
      <c r="J27" s="17" t="n">
        <f aca="false">F27*(G27-H27)</f>
        <v>3200</v>
      </c>
    </row>
    <row r="28" customFormat="false" ht="15" hidden="false" customHeight="false" outlineLevel="0" collapsed="false">
      <c r="A28" s="15" t="n">
        <v>46109</v>
      </c>
      <c r="B28" s="16" t="n">
        <f aca="false">MONTH(A28)</f>
        <v>3</v>
      </c>
      <c r="C28" s="16" t="s">
        <v>40</v>
      </c>
      <c r="D28" s="16" t="s">
        <v>30</v>
      </c>
      <c r="E28" s="16" t="s">
        <v>50</v>
      </c>
      <c r="F28" s="16" t="n">
        <v>3</v>
      </c>
      <c r="G28" s="17" t="n">
        <v>18500</v>
      </c>
      <c r="H28" s="17" t="n">
        <v>15000</v>
      </c>
      <c r="I28" s="17" t="n">
        <f aca="false">F28*G28</f>
        <v>55500</v>
      </c>
      <c r="J28" s="17" t="n">
        <f aca="false">F28*(G28-H28)</f>
        <v>10500</v>
      </c>
    </row>
    <row r="29" customFormat="false" ht="15" hidden="false" customHeight="false" outlineLevel="0" collapsed="false">
      <c r="A29" s="15" t="n">
        <v>46242</v>
      </c>
      <c r="B29" s="16" t="n">
        <f aca="false">MONTH(A29)</f>
        <v>8</v>
      </c>
      <c r="C29" s="16" t="s">
        <v>42</v>
      </c>
      <c r="D29" s="16" t="s">
        <v>36</v>
      </c>
      <c r="E29" s="16" t="s">
        <v>51</v>
      </c>
      <c r="F29" s="16" t="n">
        <v>3</v>
      </c>
      <c r="G29" s="17" t="n">
        <v>700</v>
      </c>
      <c r="H29" s="17" t="n">
        <v>480</v>
      </c>
      <c r="I29" s="17" t="n">
        <f aca="false">F29*G29</f>
        <v>2100</v>
      </c>
      <c r="J29" s="17" t="n">
        <f aca="false">F29*(G29-H29)</f>
        <v>660</v>
      </c>
    </row>
    <row r="30" customFormat="false" ht="15" hidden="false" customHeight="false" outlineLevel="0" collapsed="false">
      <c r="A30" s="15" t="n">
        <v>46041</v>
      </c>
      <c r="B30" s="16" t="n">
        <f aca="false">MONTH(A30)</f>
        <v>1</v>
      </c>
      <c r="C30" s="16" t="s">
        <v>41</v>
      </c>
      <c r="D30" s="16" t="s">
        <v>35</v>
      </c>
      <c r="E30" s="16" t="s">
        <v>52</v>
      </c>
      <c r="F30" s="16" t="n">
        <v>7</v>
      </c>
      <c r="G30" s="17" t="n">
        <v>900</v>
      </c>
      <c r="H30" s="17" t="n">
        <v>650</v>
      </c>
      <c r="I30" s="17" t="n">
        <f aca="false">F30*G30</f>
        <v>6300</v>
      </c>
      <c r="J30" s="17" t="n">
        <f aca="false">F30*(G30-H30)</f>
        <v>1750</v>
      </c>
    </row>
    <row r="31" customFormat="false" ht="15" hidden="false" customHeight="false" outlineLevel="0" collapsed="false">
      <c r="A31" s="15" t="n">
        <v>46325</v>
      </c>
      <c r="B31" s="16" t="n">
        <f aca="false">MONTH(A31)</f>
        <v>10</v>
      </c>
      <c r="C31" s="16" t="s">
        <v>40</v>
      </c>
      <c r="D31" s="16" t="s">
        <v>31</v>
      </c>
      <c r="E31" s="16" t="s">
        <v>50</v>
      </c>
      <c r="F31" s="16" t="n">
        <v>6</v>
      </c>
      <c r="G31" s="17" t="n">
        <v>4200</v>
      </c>
      <c r="H31" s="17" t="n">
        <v>3300</v>
      </c>
      <c r="I31" s="17" t="n">
        <f aca="false">F31*G31</f>
        <v>25200</v>
      </c>
      <c r="J31" s="17" t="n">
        <f aca="false">F31*(G31-H31)</f>
        <v>5400</v>
      </c>
    </row>
    <row r="32" customFormat="false" ht="15" hidden="false" customHeight="false" outlineLevel="0" collapsed="false">
      <c r="A32" s="15" t="n">
        <v>46282</v>
      </c>
      <c r="B32" s="16" t="n">
        <f aca="false">MONTH(A32)</f>
        <v>9</v>
      </c>
      <c r="C32" s="16" t="s">
        <v>43</v>
      </c>
      <c r="D32" s="16" t="s">
        <v>33</v>
      </c>
      <c r="E32" s="16" t="s">
        <v>51</v>
      </c>
      <c r="F32" s="16" t="n">
        <v>11</v>
      </c>
      <c r="G32" s="17" t="n">
        <v>450</v>
      </c>
      <c r="H32" s="17" t="n">
        <v>280</v>
      </c>
      <c r="I32" s="17" t="n">
        <f aca="false">F32*G32</f>
        <v>4950</v>
      </c>
      <c r="J32" s="17" t="n">
        <f aca="false">F32*(G32-H32)</f>
        <v>1870</v>
      </c>
    </row>
    <row r="33" customFormat="false" ht="15" hidden="false" customHeight="false" outlineLevel="0" collapsed="false">
      <c r="A33" s="15" t="n">
        <v>46148</v>
      </c>
      <c r="B33" s="16" t="n">
        <f aca="false">MONTH(A33)</f>
        <v>5</v>
      </c>
      <c r="C33" s="16" t="s">
        <v>41</v>
      </c>
      <c r="D33" s="16" t="s">
        <v>31</v>
      </c>
      <c r="E33" s="16" t="s">
        <v>50</v>
      </c>
      <c r="F33" s="16" t="n">
        <v>9</v>
      </c>
      <c r="G33" s="17" t="n">
        <v>4200</v>
      </c>
      <c r="H33" s="17" t="n">
        <v>3300</v>
      </c>
      <c r="I33" s="17" t="n">
        <f aca="false">F33*G33</f>
        <v>37800</v>
      </c>
      <c r="J33" s="17" t="n">
        <f aca="false">F33*(G33-H33)</f>
        <v>8100</v>
      </c>
    </row>
    <row r="34" customFormat="false" ht="15" hidden="false" customHeight="false" outlineLevel="0" collapsed="false">
      <c r="A34" s="15" t="n">
        <v>46247</v>
      </c>
      <c r="B34" s="16" t="n">
        <f aca="false">MONTH(A34)</f>
        <v>8</v>
      </c>
      <c r="C34" s="16" t="s">
        <v>43</v>
      </c>
      <c r="D34" s="16" t="s">
        <v>30</v>
      </c>
      <c r="E34" s="16" t="s">
        <v>50</v>
      </c>
      <c r="F34" s="16" t="n">
        <v>12</v>
      </c>
      <c r="G34" s="17" t="n">
        <v>18500</v>
      </c>
      <c r="H34" s="17" t="n">
        <v>15000</v>
      </c>
      <c r="I34" s="17" t="n">
        <f aca="false">F34*G34</f>
        <v>222000</v>
      </c>
      <c r="J34" s="17" t="n">
        <f aca="false">F34*(G34-H34)</f>
        <v>42000</v>
      </c>
    </row>
    <row r="35" customFormat="false" ht="15" hidden="false" customHeight="false" outlineLevel="0" collapsed="false">
      <c r="A35" s="15" t="n">
        <v>46052</v>
      </c>
      <c r="B35" s="16" t="n">
        <f aca="false">MONTH(A35)</f>
        <v>1</v>
      </c>
      <c r="C35" s="16" t="s">
        <v>42</v>
      </c>
      <c r="D35" s="16" t="s">
        <v>33</v>
      </c>
      <c r="E35" s="16" t="s">
        <v>51</v>
      </c>
      <c r="F35" s="16" t="n">
        <v>1</v>
      </c>
      <c r="G35" s="17" t="n">
        <v>450</v>
      </c>
      <c r="H35" s="17" t="n">
        <v>280</v>
      </c>
      <c r="I35" s="17" t="n">
        <f aca="false">F35*G35</f>
        <v>450</v>
      </c>
      <c r="J35" s="17" t="n">
        <f aca="false">F35*(G35-H35)</f>
        <v>170</v>
      </c>
    </row>
    <row r="36" customFormat="false" ht="15" hidden="false" customHeight="false" outlineLevel="0" collapsed="false">
      <c r="A36" s="15" t="n">
        <v>46155</v>
      </c>
      <c r="B36" s="16" t="n">
        <f aca="false">MONTH(A36)</f>
        <v>5</v>
      </c>
      <c r="C36" s="16" t="s">
        <v>42</v>
      </c>
      <c r="D36" s="16" t="s">
        <v>36</v>
      </c>
      <c r="E36" s="16" t="s">
        <v>51</v>
      </c>
      <c r="F36" s="16" t="n">
        <v>1</v>
      </c>
      <c r="G36" s="17" t="n">
        <v>700</v>
      </c>
      <c r="H36" s="17" t="n">
        <v>480</v>
      </c>
      <c r="I36" s="17" t="n">
        <f aca="false">F36*G36</f>
        <v>700</v>
      </c>
      <c r="J36" s="17" t="n">
        <f aca="false">F36*(G36-H36)</f>
        <v>220</v>
      </c>
    </row>
    <row r="37" customFormat="false" ht="15" hidden="false" customHeight="false" outlineLevel="0" collapsed="false">
      <c r="A37" s="15" t="n">
        <v>46150</v>
      </c>
      <c r="B37" s="16" t="n">
        <f aca="false">MONTH(A37)</f>
        <v>5</v>
      </c>
      <c r="C37" s="16" t="s">
        <v>41</v>
      </c>
      <c r="D37" s="16" t="s">
        <v>33</v>
      </c>
      <c r="E37" s="16" t="s">
        <v>51</v>
      </c>
      <c r="F37" s="16" t="n">
        <v>7</v>
      </c>
      <c r="G37" s="17" t="n">
        <v>450</v>
      </c>
      <c r="H37" s="17" t="n">
        <v>280</v>
      </c>
      <c r="I37" s="17" t="n">
        <f aca="false">F37*G37</f>
        <v>3150</v>
      </c>
      <c r="J37" s="17" t="n">
        <f aca="false">F37*(G37-H37)</f>
        <v>1190</v>
      </c>
    </row>
    <row r="38" customFormat="false" ht="15" hidden="false" customHeight="false" outlineLevel="0" collapsed="false">
      <c r="A38" s="15" t="n">
        <v>46196</v>
      </c>
      <c r="B38" s="16" t="n">
        <f aca="false">MONTH(A38)</f>
        <v>6</v>
      </c>
      <c r="C38" s="16" t="s">
        <v>41</v>
      </c>
      <c r="D38" s="16" t="s">
        <v>30</v>
      </c>
      <c r="E38" s="16" t="s">
        <v>50</v>
      </c>
      <c r="F38" s="16" t="n">
        <v>3</v>
      </c>
      <c r="G38" s="17" t="n">
        <v>18500</v>
      </c>
      <c r="H38" s="17" t="n">
        <v>15000</v>
      </c>
      <c r="I38" s="17" t="n">
        <f aca="false">F38*G38</f>
        <v>55500</v>
      </c>
      <c r="J38" s="17" t="n">
        <f aca="false">F38*(G38-H38)</f>
        <v>10500</v>
      </c>
    </row>
    <row r="39" customFormat="false" ht="15" hidden="false" customHeight="false" outlineLevel="0" collapsed="false">
      <c r="A39" s="15" t="n">
        <v>46268</v>
      </c>
      <c r="B39" s="16" t="n">
        <f aca="false">MONTH(A39)</f>
        <v>9</v>
      </c>
      <c r="C39" s="16" t="s">
        <v>40</v>
      </c>
      <c r="D39" s="16" t="s">
        <v>35</v>
      </c>
      <c r="E39" s="16" t="s">
        <v>52</v>
      </c>
      <c r="F39" s="16" t="n">
        <v>5</v>
      </c>
      <c r="G39" s="17" t="n">
        <v>900</v>
      </c>
      <c r="H39" s="17" t="n">
        <v>650</v>
      </c>
      <c r="I39" s="17" t="n">
        <f aca="false">F39*G39</f>
        <v>4500</v>
      </c>
      <c r="J39" s="17" t="n">
        <f aca="false">F39*(G39-H39)</f>
        <v>1250</v>
      </c>
    </row>
    <row r="40" customFormat="false" ht="15" hidden="false" customHeight="false" outlineLevel="0" collapsed="false">
      <c r="A40" s="15" t="n">
        <v>46355</v>
      </c>
      <c r="B40" s="16" t="n">
        <f aca="false">MONTH(A40)</f>
        <v>11</v>
      </c>
      <c r="C40" s="16" t="s">
        <v>43</v>
      </c>
      <c r="D40" s="16" t="s">
        <v>31</v>
      </c>
      <c r="E40" s="16" t="s">
        <v>50</v>
      </c>
      <c r="F40" s="16" t="n">
        <v>1</v>
      </c>
      <c r="G40" s="17" t="n">
        <v>4200</v>
      </c>
      <c r="H40" s="17" t="n">
        <v>3300</v>
      </c>
      <c r="I40" s="17" t="n">
        <f aca="false">F40*G40</f>
        <v>4200</v>
      </c>
      <c r="J40" s="17" t="n">
        <f aca="false">F40*(G40-H40)</f>
        <v>900</v>
      </c>
    </row>
    <row r="41" customFormat="false" ht="15" hidden="false" customHeight="false" outlineLevel="0" collapsed="false">
      <c r="A41" s="15" t="n">
        <v>46210</v>
      </c>
      <c r="B41" s="16" t="n">
        <f aca="false">MONTH(A41)</f>
        <v>7</v>
      </c>
      <c r="C41" s="16" t="s">
        <v>41</v>
      </c>
      <c r="D41" s="16" t="s">
        <v>31</v>
      </c>
      <c r="E41" s="16" t="s">
        <v>50</v>
      </c>
      <c r="F41" s="16" t="n">
        <v>6</v>
      </c>
      <c r="G41" s="17" t="n">
        <v>4200</v>
      </c>
      <c r="H41" s="17" t="n">
        <v>3300</v>
      </c>
      <c r="I41" s="17" t="n">
        <f aca="false">F41*G41</f>
        <v>25200</v>
      </c>
      <c r="J41" s="17" t="n">
        <f aca="false">F41*(G41-H41)</f>
        <v>5400</v>
      </c>
    </row>
    <row r="42" customFormat="false" ht="15" hidden="false" customHeight="false" outlineLevel="0" collapsed="false">
      <c r="A42" s="15" t="n">
        <v>46241</v>
      </c>
      <c r="B42" s="16" t="n">
        <f aca="false">MONTH(A42)</f>
        <v>8</v>
      </c>
      <c r="C42" s="16" t="s">
        <v>43</v>
      </c>
      <c r="D42" s="16" t="s">
        <v>34</v>
      </c>
      <c r="E42" s="16" t="s">
        <v>51</v>
      </c>
      <c r="F42" s="16" t="n">
        <v>10</v>
      </c>
      <c r="G42" s="17" t="n">
        <v>250</v>
      </c>
      <c r="H42" s="17" t="n">
        <v>140</v>
      </c>
      <c r="I42" s="17" t="n">
        <f aca="false">F42*G42</f>
        <v>2500</v>
      </c>
      <c r="J42" s="17" t="n">
        <f aca="false">F42*(G42-H42)</f>
        <v>1100</v>
      </c>
    </row>
    <row r="43" customFormat="false" ht="15" hidden="false" customHeight="false" outlineLevel="0" collapsed="false">
      <c r="A43" s="15" t="n">
        <v>46267</v>
      </c>
      <c r="B43" s="16" t="n">
        <f aca="false">MONTH(A43)</f>
        <v>9</v>
      </c>
      <c r="C43" s="16" t="s">
        <v>42</v>
      </c>
      <c r="D43" s="16" t="s">
        <v>36</v>
      </c>
      <c r="E43" s="16" t="s">
        <v>51</v>
      </c>
      <c r="F43" s="16" t="n">
        <v>3</v>
      </c>
      <c r="G43" s="17" t="n">
        <v>700</v>
      </c>
      <c r="H43" s="17" t="n">
        <v>480</v>
      </c>
      <c r="I43" s="17" t="n">
        <f aca="false">F43*G43</f>
        <v>2100</v>
      </c>
      <c r="J43" s="17" t="n">
        <f aca="false">F43*(G43-H43)</f>
        <v>660</v>
      </c>
    </row>
    <row r="44" customFormat="false" ht="15" hidden="false" customHeight="false" outlineLevel="0" collapsed="false">
      <c r="A44" s="15" t="n">
        <v>46324</v>
      </c>
      <c r="B44" s="16" t="n">
        <f aca="false">MONTH(A44)</f>
        <v>10</v>
      </c>
      <c r="C44" s="16" t="s">
        <v>42</v>
      </c>
      <c r="D44" s="16" t="s">
        <v>34</v>
      </c>
      <c r="E44" s="16" t="s">
        <v>51</v>
      </c>
      <c r="F44" s="16" t="n">
        <v>3</v>
      </c>
      <c r="G44" s="17" t="n">
        <v>250</v>
      </c>
      <c r="H44" s="17" t="n">
        <v>140</v>
      </c>
      <c r="I44" s="17" t="n">
        <f aca="false">F44*G44</f>
        <v>750</v>
      </c>
      <c r="J44" s="17" t="n">
        <f aca="false">F44*(G44-H44)</f>
        <v>330</v>
      </c>
    </row>
    <row r="45" customFormat="false" ht="15" hidden="false" customHeight="false" outlineLevel="0" collapsed="false">
      <c r="A45" s="15" t="n">
        <v>46028</v>
      </c>
      <c r="B45" s="16" t="n">
        <f aca="false">MONTH(A45)</f>
        <v>1</v>
      </c>
      <c r="C45" s="16" t="s">
        <v>43</v>
      </c>
      <c r="D45" s="16" t="s">
        <v>36</v>
      </c>
      <c r="E45" s="16" t="s">
        <v>51</v>
      </c>
      <c r="F45" s="16" t="n">
        <v>11</v>
      </c>
      <c r="G45" s="17" t="n">
        <v>700</v>
      </c>
      <c r="H45" s="17" t="n">
        <v>480</v>
      </c>
      <c r="I45" s="17" t="n">
        <f aca="false">F45*G45</f>
        <v>7700</v>
      </c>
      <c r="J45" s="17" t="n">
        <f aca="false">F45*(G45-H45)</f>
        <v>2420</v>
      </c>
    </row>
    <row r="46" customFormat="false" ht="15" hidden="false" customHeight="false" outlineLevel="0" collapsed="false">
      <c r="A46" s="15" t="n">
        <v>46035</v>
      </c>
      <c r="B46" s="16" t="n">
        <f aca="false">MONTH(A46)</f>
        <v>1</v>
      </c>
      <c r="C46" s="16" t="s">
        <v>42</v>
      </c>
      <c r="D46" s="16" t="s">
        <v>31</v>
      </c>
      <c r="E46" s="16" t="s">
        <v>50</v>
      </c>
      <c r="F46" s="16" t="n">
        <v>10</v>
      </c>
      <c r="G46" s="17" t="n">
        <v>4200</v>
      </c>
      <c r="H46" s="17" t="n">
        <v>3300</v>
      </c>
      <c r="I46" s="17" t="n">
        <f aca="false">F46*G46</f>
        <v>42000</v>
      </c>
      <c r="J46" s="17" t="n">
        <f aca="false">F46*(G46-H46)</f>
        <v>9000</v>
      </c>
    </row>
    <row r="47" customFormat="false" ht="15" hidden="false" customHeight="false" outlineLevel="0" collapsed="false">
      <c r="A47" s="15" t="n">
        <v>46352</v>
      </c>
      <c r="B47" s="16" t="n">
        <f aca="false">MONTH(A47)</f>
        <v>11</v>
      </c>
      <c r="C47" s="16" t="s">
        <v>41</v>
      </c>
      <c r="D47" s="16" t="s">
        <v>32</v>
      </c>
      <c r="E47" s="16" t="s">
        <v>50</v>
      </c>
      <c r="F47" s="16" t="n">
        <v>10</v>
      </c>
      <c r="G47" s="17" t="n">
        <v>3800</v>
      </c>
      <c r="H47" s="17" t="n">
        <v>3000</v>
      </c>
      <c r="I47" s="17" t="n">
        <f aca="false">F47*G47</f>
        <v>38000</v>
      </c>
      <c r="J47" s="17" t="n">
        <f aca="false">F47*(G47-H47)</f>
        <v>8000</v>
      </c>
    </row>
    <row r="48" customFormat="false" ht="15" hidden="false" customHeight="false" outlineLevel="0" collapsed="false">
      <c r="A48" s="15" t="n">
        <v>46154</v>
      </c>
      <c r="B48" s="16" t="n">
        <f aca="false">MONTH(A48)</f>
        <v>5</v>
      </c>
      <c r="C48" s="16" t="s">
        <v>43</v>
      </c>
      <c r="D48" s="16" t="s">
        <v>33</v>
      </c>
      <c r="E48" s="16" t="s">
        <v>51</v>
      </c>
      <c r="F48" s="16" t="n">
        <v>3</v>
      </c>
      <c r="G48" s="17" t="n">
        <v>450</v>
      </c>
      <c r="H48" s="17" t="n">
        <v>280</v>
      </c>
      <c r="I48" s="17" t="n">
        <f aca="false">F48*G48</f>
        <v>1350</v>
      </c>
      <c r="J48" s="17" t="n">
        <f aca="false">F48*(G48-H48)</f>
        <v>510</v>
      </c>
    </row>
    <row r="49" customFormat="false" ht="15" hidden="false" customHeight="false" outlineLevel="0" collapsed="false">
      <c r="A49" s="15" t="n">
        <v>46095</v>
      </c>
      <c r="B49" s="16" t="n">
        <f aca="false">MONTH(A49)</f>
        <v>3</v>
      </c>
      <c r="C49" s="16" t="s">
        <v>40</v>
      </c>
      <c r="D49" s="16" t="s">
        <v>31</v>
      </c>
      <c r="E49" s="16" t="s">
        <v>50</v>
      </c>
      <c r="F49" s="16" t="n">
        <v>7</v>
      </c>
      <c r="G49" s="17" t="n">
        <v>4200</v>
      </c>
      <c r="H49" s="17" t="n">
        <v>3300</v>
      </c>
      <c r="I49" s="17" t="n">
        <f aca="false">F49*G49</f>
        <v>29400</v>
      </c>
      <c r="J49" s="17" t="n">
        <f aca="false">F49*(G49-H49)</f>
        <v>6300</v>
      </c>
    </row>
    <row r="50" customFormat="false" ht="15" hidden="false" customHeight="false" outlineLevel="0" collapsed="false">
      <c r="A50" s="15" t="n">
        <v>46118</v>
      </c>
      <c r="B50" s="16" t="n">
        <f aca="false">MONTH(A50)</f>
        <v>4</v>
      </c>
      <c r="C50" s="16" t="s">
        <v>40</v>
      </c>
      <c r="D50" s="16" t="s">
        <v>30</v>
      </c>
      <c r="E50" s="16" t="s">
        <v>50</v>
      </c>
      <c r="F50" s="16" t="n">
        <v>11</v>
      </c>
      <c r="G50" s="17" t="n">
        <v>18500</v>
      </c>
      <c r="H50" s="17" t="n">
        <v>15000</v>
      </c>
      <c r="I50" s="17" t="n">
        <f aca="false">F50*G50</f>
        <v>203500</v>
      </c>
      <c r="J50" s="17" t="n">
        <f aca="false">F50*(G50-H50)</f>
        <v>38500</v>
      </c>
    </row>
    <row r="51" customFormat="false" ht="15" hidden="false" customHeight="false" outlineLevel="0" collapsed="false">
      <c r="A51" s="15" t="n">
        <v>46095</v>
      </c>
      <c r="B51" s="16" t="n">
        <f aca="false">MONTH(A51)</f>
        <v>3</v>
      </c>
      <c r="C51" s="16" t="s">
        <v>40</v>
      </c>
      <c r="D51" s="16" t="s">
        <v>33</v>
      </c>
      <c r="E51" s="16" t="s">
        <v>51</v>
      </c>
      <c r="F51" s="16" t="n">
        <v>2</v>
      </c>
      <c r="G51" s="17" t="n">
        <v>450</v>
      </c>
      <c r="H51" s="17" t="n">
        <v>280</v>
      </c>
      <c r="I51" s="17" t="n">
        <f aca="false">F51*G51</f>
        <v>900</v>
      </c>
      <c r="J51" s="17" t="n">
        <f aca="false">F51*(G51-H51)</f>
        <v>340</v>
      </c>
    </row>
    <row r="52" customFormat="false" ht="15" hidden="false" customHeight="false" outlineLevel="0" collapsed="false">
      <c r="A52" s="15" t="n">
        <v>46167</v>
      </c>
      <c r="B52" s="16" t="n">
        <f aca="false">MONTH(A52)</f>
        <v>5</v>
      </c>
      <c r="C52" s="16" t="s">
        <v>41</v>
      </c>
      <c r="D52" s="16" t="s">
        <v>35</v>
      </c>
      <c r="E52" s="16" t="s">
        <v>52</v>
      </c>
      <c r="F52" s="16" t="n">
        <v>5</v>
      </c>
      <c r="G52" s="17" t="n">
        <v>900</v>
      </c>
      <c r="H52" s="17" t="n">
        <v>650</v>
      </c>
      <c r="I52" s="17" t="n">
        <f aca="false">F52*G52</f>
        <v>4500</v>
      </c>
      <c r="J52" s="17" t="n">
        <f aca="false">F52*(G52-H52)</f>
        <v>1250</v>
      </c>
    </row>
    <row r="53" customFormat="false" ht="15" hidden="false" customHeight="false" outlineLevel="0" collapsed="false">
      <c r="A53" s="15" t="n">
        <v>46189</v>
      </c>
      <c r="B53" s="16" t="n">
        <f aca="false">MONTH(A53)</f>
        <v>6</v>
      </c>
      <c r="C53" s="16" t="s">
        <v>43</v>
      </c>
      <c r="D53" s="16" t="s">
        <v>34</v>
      </c>
      <c r="E53" s="16" t="s">
        <v>51</v>
      </c>
      <c r="F53" s="16" t="n">
        <v>8</v>
      </c>
      <c r="G53" s="17" t="n">
        <v>250</v>
      </c>
      <c r="H53" s="17" t="n">
        <v>140</v>
      </c>
      <c r="I53" s="17" t="n">
        <f aca="false">F53*G53</f>
        <v>2000</v>
      </c>
      <c r="J53" s="17" t="n">
        <f aca="false">F53*(G53-H53)</f>
        <v>880</v>
      </c>
    </row>
    <row r="54" customFormat="false" ht="15" hidden="false" customHeight="false" outlineLevel="0" collapsed="false">
      <c r="A54" s="15" t="n">
        <v>46341</v>
      </c>
      <c r="B54" s="16" t="n">
        <f aca="false">MONTH(A54)</f>
        <v>11</v>
      </c>
      <c r="C54" s="16" t="s">
        <v>41</v>
      </c>
      <c r="D54" s="16" t="s">
        <v>31</v>
      </c>
      <c r="E54" s="16" t="s">
        <v>50</v>
      </c>
      <c r="F54" s="16" t="n">
        <v>3</v>
      </c>
      <c r="G54" s="17" t="n">
        <v>4200</v>
      </c>
      <c r="H54" s="17" t="n">
        <v>3300</v>
      </c>
      <c r="I54" s="17" t="n">
        <f aca="false">F54*G54</f>
        <v>12600</v>
      </c>
      <c r="J54" s="17" t="n">
        <f aca="false">F54*(G54-H54)</f>
        <v>2700</v>
      </c>
    </row>
    <row r="55" customFormat="false" ht="15" hidden="false" customHeight="false" outlineLevel="0" collapsed="false">
      <c r="A55" s="15" t="n">
        <v>46216</v>
      </c>
      <c r="B55" s="16" t="n">
        <f aca="false">MONTH(A55)</f>
        <v>7</v>
      </c>
      <c r="C55" s="16" t="s">
        <v>41</v>
      </c>
      <c r="D55" s="16" t="s">
        <v>31</v>
      </c>
      <c r="E55" s="16" t="s">
        <v>50</v>
      </c>
      <c r="F55" s="16" t="n">
        <v>12</v>
      </c>
      <c r="G55" s="17" t="n">
        <v>4200</v>
      </c>
      <c r="H55" s="17" t="n">
        <v>3300</v>
      </c>
      <c r="I55" s="17" t="n">
        <f aca="false">F55*G55</f>
        <v>50400</v>
      </c>
      <c r="J55" s="17" t="n">
        <f aca="false">F55*(G55-H55)</f>
        <v>10800</v>
      </c>
    </row>
    <row r="56" customFormat="false" ht="15" hidden="false" customHeight="false" outlineLevel="0" collapsed="false">
      <c r="A56" s="15" t="n">
        <v>46304</v>
      </c>
      <c r="B56" s="16" t="n">
        <f aca="false">MONTH(A56)</f>
        <v>10</v>
      </c>
      <c r="C56" s="16" t="s">
        <v>40</v>
      </c>
      <c r="D56" s="16" t="s">
        <v>35</v>
      </c>
      <c r="E56" s="16" t="s">
        <v>52</v>
      </c>
      <c r="F56" s="16" t="n">
        <v>10</v>
      </c>
      <c r="G56" s="17" t="n">
        <v>900</v>
      </c>
      <c r="H56" s="17" t="n">
        <v>650</v>
      </c>
      <c r="I56" s="17" t="n">
        <f aca="false">F56*G56</f>
        <v>9000</v>
      </c>
      <c r="J56" s="17" t="n">
        <f aca="false">F56*(G56-H56)</f>
        <v>2500</v>
      </c>
    </row>
    <row r="57" customFormat="false" ht="15" hidden="false" customHeight="false" outlineLevel="0" collapsed="false">
      <c r="A57" s="15" t="n">
        <v>46281</v>
      </c>
      <c r="B57" s="16" t="n">
        <f aca="false">MONTH(A57)</f>
        <v>9</v>
      </c>
      <c r="C57" s="16" t="s">
        <v>40</v>
      </c>
      <c r="D57" s="16" t="s">
        <v>35</v>
      </c>
      <c r="E57" s="16" t="s">
        <v>52</v>
      </c>
      <c r="F57" s="16" t="n">
        <v>1</v>
      </c>
      <c r="G57" s="17" t="n">
        <v>900</v>
      </c>
      <c r="H57" s="17" t="n">
        <v>650</v>
      </c>
      <c r="I57" s="17" t="n">
        <f aca="false">F57*G57</f>
        <v>900</v>
      </c>
      <c r="J57" s="17" t="n">
        <f aca="false">F57*(G57-H57)</f>
        <v>250</v>
      </c>
    </row>
    <row r="58" customFormat="false" ht="15" hidden="false" customHeight="false" outlineLevel="0" collapsed="false">
      <c r="A58" s="15" t="n">
        <v>46260</v>
      </c>
      <c r="B58" s="16" t="n">
        <f aca="false">MONTH(A58)</f>
        <v>8</v>
      </c>
      <c r="C58" s="16" t="s">
        <v>40</v>
      </c>
      <c r="D58" s="16" t="s">
        <v>33</v>
      </c>
      <c r="E58" s="16" t="s">
        <v>51</v>
      </c>
      <c r="F58" s="16" t="n">
        <v>7</v>
      </c>
      <c r="G58" s="17" t="n">
        <v>450</v>
      </c>
      <c r="H58" s="17" t="n">
        <v>280</v>
      </c>
      <c r="I58" s="17" t="n">
        <f aca="false">F58*G58</f>
        <v>3150</v>
      </c>
      <c r="J58" s="17" t="n">
        <f aca="false">F58*(G58-H58)</f>
        <v>1190</v>
      </c>
    </row>
    <row r="59" customFormat="false" ht="15" hidden="false" customHeight="false" outlineLevel="0" collapsed="false">
      <c r="A59" s="15" t="n">
        <v>46313</v>
      </c>
      <c r="B59" s="16" t="n">
        <f aca="false">MONTH(A59)</f>
        <v>10</v>
      </c>
      <c r="C59" s="16" t="s">
        <v>41</v>
      </c>
      <c r="D59" s="16" t="s">
        <v>36</v>
      </c>
      <c r="E59" s="16" t="s">
        <v>51</v>
      </c>
      <c r="F59" s="16" t="n">
        <v>12</v>
      </c>
      <c r="G59" s="17" t="n">
        <v>700</v>
      </c>
      <c r="H59" s="17" t="n">
        <v>480</v>
      </c>
      <c r="I59" s="17" t="n">
        <f aca="false">F59*G59</f>
        <v>8400</v>
      </c>
      <c r="J59" s="17" t="n">
        <f aca="false">F59*(G59-H59)</f>
        <v>2640</v>
      </c>
    </row>
    <row r="60" customFormat="false" ht="15" hidden="false" customHeight="false" outlineLevel="0" collapsed="false">
      <c r="A60" s="15" t="n">
        <v>46152</v>
      </c>
      <c r="B60" s="16" t="n">
        <f aca="false">MONTH(A60)</f>
        <v>5</v>
      </c>
      <c r="C60" s="16" t="s">
        <v>42</v>
      </c>
      <c r="D60" s="16" t="s">
        <v>31</v>
      </c>
      <c r="E60" s="16" t="s">
        <v>50</v>
      </c>
      <c r="F60" s="16" t="n">
        <v>12</v>
      </c>
      <c r="G60" s="17" t="n">
        <v>4200</v>
      </c>
      <c r="H60" s="17" t="n">
        <v>3300</v>
      </c>
      <c r="I60" s="17" t="n">
        <f aca="false">F60*G60</f>
        <v>50400</v>
      </c>
      <c r="J60" s="17" t="n">
        <f aca="false">F60*(G60-H60)</f>
        <v>10800</v>
      </c>
    </row>
    <row r="61" customFormat="false" ht="15" hidden="false" customHeight="false" outlineLevel="0" collapsed="false">
      <c r="A61" s="15" t="n">
        <v>46148</v>
      </c>
      <c r="B61" s="16" t="n">
        <f aca="false">MONTH(A61)</f>
        <v>5</v>
      </c>
      <c r="C61" s="16" t="s">
        <v>43</v>
      </c>
      <c r="D61" s="16" t="s">
        <v>30</v>
      </c>
      <c r="E61" s="16" t="s">
        <v>50</v>
      </c>
      <c r="F61" s="16" t="n">
        <v>3</v>
      </c>
      <c r="G61" s="17" t="n">
        <v>18500</v>
      </c>
      <c r="H61" s="17" t="n">
        <v>15000</v>
      </c>
      <c r="I61" s="17" t="n">
        <f aca="false">F61*G61</f>
        <v>55500</v>
      </c>
      <c r="J61" s="17" t="n">
        <f aca="false">F61*(G61-H61)</f>
        <v>10500</v>
      </c>
    </row>
    <row r="62" customFormat="false" ht="15" hidden="false" customHeight="false" outlineLevel="0" collapsed="false">
      <c r="A62" s="15" t="n">
        <v>46174</v>
      </c>
      <c r="B62" s="16" t="n">
        <f aca="false">MONTH(A62)</f>
        <v>6</v>
      </c>
      <c r="C62" s="16" t="s">
        <v>43</v>
      </c>
      <c r="D62" s="16" t="s">
        <v>32</v>
      </c>
      <c r="E62" s="16" t="s">
        <v>50</v>
      </c>
      <c r="F62" s="16" t="n">
        <v>10</v>
      </c>
      <c r="G62" s="17" t="n">
        <v>3800</v>
      </c>
      <c r="H62" s="17" t="n">
        <v>3000</v>
      </c>
      <c r="I62" s="17" t="n">
        <f aca="false">F62*G62</f>
        <v>38000</v>
      </c>
      <c r="J62" s="17" t="n">
        <f aca="false">F62*(G62-H62)</f>
        <v>8000</v>
      </c>
    </row>
    <row r="63" customFormat="false" ht="15" hidden="false" customHeight="false" outlineLevel="0" collapsed="false">
      <c r="A63" s="15" t="n">
        <v>46302</v>
      </c>
      <c r="B63" s="16" t="n">
        <f aca="false">MONTH(A63)</f>
        <v>10</v>
      </c>
      <c r="C63" s="16" t="s">
        <v>40</v>
      </c>
      <c r="D63" s="16" t="s">
        <v>30</v>
      </c>
      <c r="E63" s="16" t="s">
        <v>50</v>
      </c>
      <c r="F63" s="16" t="n">
        <v>9</v>
      </c>
      <c r="G63" s="17" t="n">
        <v>18500</v>
      </c>
      <c r="H63" s="17" t="n">
        <v>15000</v>
      </c>
      <c r="I63" s="17" t="n">
        <f aca="false">F63*G63</f>
        <v>166500</v>
      </c>
      <c r="J63" s="17" t="n">
        <f aca="false">F63*(G63-H63)</f>
        <v>31500</v>
      </c>
    </row>
    <row r="64" customFormat="false" ht="15" hidden="false" customHeight="false" outlineLevel="0" collapsed="false">
      <c r="A64" s="15" t="n">
        <v>46188</v>
      </c>
      <c r="B64" s="16" t="n">
        <f aca="false">MONTH(A64)</f>
        <v>6</v>
      </c>
      <c r="C64" s="16" t="s">
        <v>42</v>
      </c>
      <c r="D64" s="16" t="s">
        <v>34</v>
      </c>
      <c r="E64" s="16" t="s">
        <v>51</v>
      </c>
      <c r="F64" s="16" t="n">
        <v>5</v>
      </c>
      <c r="G64" s="17" t="n">
        <v>250</v>
      </c>
      <c r="H64" s="17" t="n">
        <v>140</v>
      </c>
      <c r="I64" s="17" t="n">
        <f aca="false">F64*G64</f>
        <v>1250</v>
      </c>
      <c r="J64" s="17" t="n">
        <f aca="false">F64*(G64-H64)</f>
        <v>550</v>
      </c>
    </row>
    <row r="65" customFormat="false" ht="15" hidden="false" customHeight="false" outlineLevel="0" collapsed="false">
      <c r="A65" s="15" t="n">
        <v>46342</v>
      </c>
      <c r="B65" s="16" t="n">
        <f aca="false">MONTH(A65)</f>
        <v>11</v>
      </c>
      <c r="C65" s="16" t="s">
        <v>41</v>
      </c>
      <c r="D65" s="16" t="s">
        <v>35</v>
      </c>
      <c r="E65" s="16" t="s">
        <v>52</v>
      </c>
      <c r="F65" s="16" t="n">
        <v>2</v>
      </c>
      <c r="G65" s="17" t="n">
        <v>900</v>
      </c>
      <c r="H65" s="17" t="n">
        <v>650</v>
      </c>
      <c r="I65" s="17" t="n">
        <f aca="false">F65*G65</f>
        <v>1800</v>
      </c>
      <c r="J65" s="17" t="n">
        <f aca="false">F65*(G65-H65)</f>
        <v>500</v>
      </c>
    </row>
    <row r="66" customFormat="false" ht="15" hidden="false" customHeight="false" outlineLevel="0" collapsed="false">
      <c r="A66" s="15" t="n">
        <v>46189</v>
      </c>
      <c r="B66" s="16" t="n">
        <f aca="false">MONTH(A66)</f>
        <v>6</v>
      </c>
      <c r="C66" s="16" t="s">
        <v>41</v>
      </c>
      <c r="D66" s="16" t="s">
        <v>34</v>
      </c>
      <c r="E66" s="16" t="s">
        <v>51</v>
      </c>
      <c r="F66" s="16" t="n">
        <v>6</v>
      </c>
      <c r="G66" s="17" t="n">
        <v>250</v>
      </c>
      <c r="H66" s="17" t="n">
        <v>140</v>
      </c>
      <c r="I66" s="17" t="n">
        <f aca="false">F66*G66</f>
        <v>1500</v>
      </c>
      <c r="J66" s="17" t="n">
        <f aca="false">F66*(G66-H66)</f>
        <v>660</v>
      </c>
    </row>
    <row r="67" customFormat="false" ht="15" hidden="false" customHeight="false" outlineLevel="0" collapsed="false">
      <c r="A67" s="15" t="n">
        <v>46185</v>
      </c>
      <c r="B67" s="16" t="n">
        <f aca="false">MONTH(A67)</f>
        <v>6</v>
      </c>
      <c r="C67" s="16" t="s">
        <v>43</v>
      </c>
      <c r="D67" s="16" t="s">
        <v>30</v>
      </c>
      <c r="E67" s="16" t="s">
        <v>50</v>
      </c>
      <c r="F67" s="16" t="n">
        <v>2</v>
      </c>
      <c r="G67" s="17" t="n">
        <v>18500</v>
      </c>
      <c r="H67" s="17" t="n">
        <v>15000</v>
      </c>
      <c r="I67" s="17" t="n">
        <f aca="false">F67*G67</f>
        <v>37000</v>
      </c>
      <c r="J67" s="17" t="n">
        <f aca="false">F67*(G67-H67)</f>
        <v>7000</v>
      </c>
    </row>
    <row r="68" customFormat="false" ht="15" hidden="false" customHeight="false" outlineLevel="0" collapsed="false">
      <c r="A68" s="15" t="n">
        <v>46061</v>
      </c>
      <c r="B68" s="16" t="n">
        <f aca="false">MONTH(A68)</f>
        <v>2</v>
      </c>
      <c r="C68" s="16" t="s">
        <v>40</v>
      </c>
      <c r="D68" s="16" t="s">
        <v>36</v>
      </c>
      <c r="E68" s="16" t="s">
        <v>51</v>
      </c>
      <c r="F68" s="16" t="n">
        <v>11</v>
      </c>
      <c r="G68" s="17" t="n">
        <v>700</v>
      </c>
      <c r="H68" s="17" t="n">
        <v>480</v>
      </c>
      <c r="I68" s="17" t="n">
        <f aca="false">F68*G68</f>
        <v>7700</v>
      </c>
      <c r="J68" s="17" t="n">
        <f aca="false">F68*(G68-H68)</f>
        <v>2420</v>
      </c>
    </row>
    <row r="69" customFormat="false" ht="15" hidden="false" customHeight="false" outlineLevel="0" collapsed="false">
      <c r="A69" s="15" t="n">
        <v>46252</v>
      </c>
      <c r="B69" s="16" t="n">
        <f aca="false">MONTH(A69)</f>
        <v>8</v>
      </c>
      <c r="C69" s="16" t="s">
        <v>40</v>
      </c>
      <c r="D69" s="16" t="s">
        <v>36</v>
      </c>
      <c r="E69" s="16" t="s">
        <v>51</v>
      </c>
      <c r="F69" s="16" t="n">
        <v>11</v>
      </c>
      <c r="G69" s="17" t="n">
        <v>700</v>
      </c>
      <c r="H69" s="17" t="n">
        <v>480</v>
      </c>
      <c r="I69" s="17" t="n">
        <f aca="false">F69*G69</f>
        <v>7700</v>
      </c>
      <c r="J69" s="17" t="n">
        <f aca="false">F69*(G69-H69)</f>
        <v>2420</v>
      </c>
    </row>
    <row r="70" customFormat="false" ht="15" hidden="false" customHeight="false" outlineLevel="0" collapsed="false">
      <c r="A70" s="15" t="n">
        <v>46384</v>
      </c>
      <c r="B70" s="16" t="n">
        <f aca="false">MONTH(A70)</f>
        <v>12</v>
      </c>
      <c r="C70" s="16" t="s">
        <v>43</v>
      </c>
      <c r="D70" s="16" t="s">
        <v>35</v>
      </c>
      <c r="E70" s="16" t="s">
        <v>52</v>
      </c>
      <c r="F70" s="16" t="n">
        <v>8</v>
      </c>
      <c r="G70" s="17" t="n">
        <v>900</v>
      </c>
      <c r="H70" s="17" t="n">
        <v>650</v>
      </c>
      <c r="I70" s="17" t="n">
        <f aca="false">F70*G70</f>
        <v>7200</v>
      </c>
      <c r="J70" s="17" t="n">
        <f aca="false">F70*(G70-H70)</f>
        <v>2000</v>
      </c>
    </row>
    <row r="71" customFormat="false" ht="15" hidden="false" customHeight="false" outlineLevel="0" collapsed="false">
      <c r="A71" s="15" t="n">
        <v>46285</v>
      </c>
      <c r="B71" s="16" t="n">
        <f aca="false">MONTH(A71)</f>
        <v>9</v>
      </c>
      <c r="C71" s="16" t="s">
        <v>43</v>
      </c>
      <c r="D71" s="16" t="s">
        <v>34</v>
      </c>
      <c r="E71" s="16" t="s">
        <v>51</v>
      </c>
      <c r="F71" s="16" t="n">
        <v>7</v>
      </c>
      <c r="G71" s="17" t="n">
        <v>250</v>
      </c>
      <c r="H71" s="17" t="n">
        <v>140</v>
      </c>
      <c r="I71" s="17" t="n">
        <f aca="false">F71*G71</f>
        <v>1750</v>
      </c>
      <c r="J71" s="17" t="n">
        <f aca="false">F71*(G71-H71)</f>
        <v>770</v>
      </c>
    </row>
    <row r="72" customFormat="false" ht="15" hidden="false" customHeight="false" outlineLevel="0" collapsed="false">
      <c r="A72" s="15" t="n">
        <v>46138</v>
      </c>
      <c r="B72" s="16" t="n">
        <f aca="false">MONTH(A72)</f>
        <v>4</v>
      </c>
      <c r="C72" s="16" t="s">
        <v>40</v>
      </c>
      <c r="D72" s="16" t="s">
        <v>30</v>
      </c>
      <c r="E72" s="16" t="s">
        <v>50</v>
      </c>
      <c r="F72" s="16" t="n">
        <v>1</v>
      </c>
      <c r="G72" s="17" t="n">
        <v>18500</v>
      </c>
      <c r="H72" s="17" t="n">
        <v>15000</v>
      </c>
      <c r="I72" s="17" t="n">
        <f aca="false">F72*G72</f>
        <v>18500</v>
      </c>
      <c r="J72" s="17" t="n">
        <f aca="false">F72*(G72-H72)</f>
        <v>3500</v>
      </c>
    </row>
    <row r="73" customFormat="false" ht="15" hidden="false" customHeight="false" outlineLevel="0" collapsed="false">
      <c r="A73" s="15" t="n">
        <v>46245</v>
      </c>
      <c r="B73" s="16" t="n">
        <f aca="false">MONTH(A73)</f>
        <v>8</v>
      </c>
      <c r="C73" s="16" t="s">
        <v>40</v>
      </c>
      <c r="D73" s="16" t="s">
        <v>35</v>
      </c>
      <c r="E73" s="16" t="s">
        <v>52</v>
      </c>
      <c r="F73" s="16" t="n">
        <v>4</v>
      </c>
      <c r="G73" s="17" t="n">
        <v>900</v>
      </c>
      <c r="H73" s="17" t="n">
        <v>650</v>
      </c>
      <c r="I73" s="17" t="n">
        <f aca="false">F73*G73</f>
        <v>3600</v>
      </c>
      <c r="J73" s="17" t="n">
        <f aca="false">F73*(G73-H73)</f>
        <v>1000</v>
      </c>
    </row>
    <row r="74" customFormat="false" ht="15" hidden="false" customHeight="false" outlineLevel="0" collapsed="false">
      <c r="A74" s="15" t="n">
        <v>46383</v>
      </c>
      <c r="B74" s="16" t="n">
        <f aca="false">MONTH(A74)</f>
        <v>12</v>
      </c>
      <c r="C74" s="16" t="s">
        <v>43</v>
      </c>
      <c r="D74" s="16" t="s">
        <v>32</v>
      </c>
      <c r="E74" s="16" t="s">
        <v>50</v>
      </c>
      <c r="F74" s="16" t="n">
        <v>12</v>
      </c>
      <c r="G74" s="17" t="n">
        <v>3800</v>
      </c>
      <c r="H74" s="17" t="n">
        <v>3000</v>
      </c>
      <c r="I74" s="17" t="n">
        <f aca="false">F74*G74</f>
        <v>45600</v>
      </c>
      <c r="J74" s="17" t="n">
        <f aca="false">F74*(G74-H74)</f>
        <v>9600</v>
      </c>
    </row>
    <row r="75" customFormat="false" ht="15" hidden="false" customHeight="false" outlineLevel="0" collapsed="false">
      <c r="A75" s="15" t="n">
        <v>46256</v>
      </c>
      <c r="B75" s="16" t="n">
        <f aca="false">MONTH(A75)</f>
        <v>8</v>
      </c>
      <c r="C75" s="16" t="s">
        <v>41</v>
      </c>
      <c r="D75" s="16" t="s">
        <v>33</v>
      </c>
      <c r="E75" s="16" t="s">
        <v>51</v>
      </c>
      <c r="F75" s="16" t="n">
        <v>7</v>
      </c>
      <c r="G75" s="17" t="n">
        <v>450</v>
      </c>
      <c r="H75" s="17" t="n">
        <v>280</v>
      </c>
      <c r="I75" s="17" t="n">
        <f aca="false">F75*G75</f>
        <v>3150</v>
      </c>
      <c r="J75" s="17" t="n">
        <f aca="false">F75*(G75-H75)</f>
        <v>1190</v>
      </c>
    </row>
    <row r="76" customFormat="false" ht="15" hidden="false" customHeight="false" outlineLevel="0" collapsed="false">
      <c r="A76" s="15" t="n">
        <v>46190</v>
      </c>
      <c r="B76" s="16" t="n">
        <f aca="false">MONTH(A76)</f>
        <v>6</v>
      </c>
      <c r="C76" s="16" t="s">
        <v>43</v>
      </c>
      <c r="D76" s="16" t="s">
        <v>33</v>
      </c>
      <c r="E76" s="16" t="s">
        <v>51</v>
      </c>
      <c r="F76" s="16" t="n">
        <v>4</v>
      </c>
      <c r="G76" s="17" t="n">
        <v>450</v>
      </c>
      <c r="H76" s="17" t="n">
        <v>280</v>
      </c>
      <c r="I76" s="17" t="n">
        <f aca="false">F76*G76</f>
        <v>1800</v>
      </c>
      <c r="J76" s="17" t="n">
        <f aca="false">F76*(G76-H76)</f>
        <v>680</v>
      </c>
    </row>
    <row r="77" customFormat="false" ht="15" hidden="false" customHeight="false" outlineLevel="0" collapsed="false">
      <c r="A77" s="15" t="n">
        <v>46358</v>
      </c>
      <c r="B77" s="16" t="n">
        <f aca="false">MONTH(A77)</f>
        <v>12</v>
      </c>
      <c r="C77" s="16" t="s">
        <v>40</v>
      </c>
      <c r="D77" s="16" t="s">
        <v>35</v>
      </c>
      <c r="E77" s="16" t="s">
        <v>52</v>
      </c>
      <c r="F77" s="16" t="n">
        <v>1</v>
      </c>
      <c r="G77" s="17" t="n">
        <v>900</v>
      </c>
      <c r="H77" s="17" t="n">
        <v>650</v>
      </c>
      <c r="I77" s="17" t="n">
        <f aca="false">F77*G77</f>
        <v>900</v>
      </c>
      <c r="J77" s="17" t="n">
        <f aca="false">F77*(G77-H77)</f>
        <v>250</v>
      </c>
    </row>
    <row r="78" customFormat="false" ht="15" hidden="false" customHeight="false" outlineLevel="0" collapsed="false">
      <c r="A78" s="15" t="n">
        <v>46111</v>
      </c>
      <c r="B78" s="16" t="n">
        <f aca="false">MONTH(A78)</f>
        <v>3</v>
      </c>
      <c r="C78" s="16" t="s">
        <v>43</v>
      </c>
      <c r="D78" s="16" t="s">
        <v>33</v>
      </c>
      <c r="E78" s="16" t="s">
        <v>51</v>
      </c>
      <c r="F78" s="16" t="n">
        <v>6</v>
      </c>
      <c r="G78" s="17" t="n">
        <v>450</v>
      </c>
      <c r="H78" s="17" t="n">
        <v>280</v>
      </c>
      <c r="I78" s="17" t="n">
        <f aca="false">F78*G78</f>
        <v>2700</v>
      </c>
      <c r="J78" s="17" t="n">
        <f aca="false">F78*(G78-H78)</f>
        <v>1020</v>
      </c>
    </row>
    <row r="79" customFormat="false" ht="15" hidden="false" customHeight="false" outlineLevel="0" collapsed="false">
      <c r="A79" s="15" t="n">
        <v>46332</v>
      </c>
      <c r="B79" s="16" t="n">
        <f aca="false">MONTH(A79)</f>
        <v>11</v>
      </c>
      <c r="C79" s="16" t="s">
        <v>41</v>
      </c>
      <c r="D79" s="16" t="s">
        <v>35</v>
      </c>
      <c r="E79" s="16" t="s">
        <v>52</v>
      </c>
      <c r="F79" s="16" t="n">
        <v>8</v>
      </c>
      <c r="G79" s="17" t="n">
        <v>900</v>
      </c>
      <c r="H79" s="17" t="n">
        <v>650</v>
      </c>
      <c r="I79" s="17" t="n">
        <f aca="false">F79*G79</f>
        <v>7200</v>
      </c>
      <c r="J79" s="17" t="n">
        <f aca="false">F79*(G79-H79)</f>
        <v>2000</v>
      </c>
    </row>
    <row r="80" customFormat="false" ht="15" hidden="false" customHeight="false" outlineLevel="0" collapsed="false">
      <c r="A80" s="15" t="n">
        <v>46346</v>
      </c>
      <c r="B80" s="16" t="n">
        <f aca="false">MONTH(A80)</f>
        <v>11</v>
      </c>
      <c r="C80" s="16" t="s">
        <v>42</v>
      </c>
      <c r="D80" s="16" t="s">
        <v>35</v>
      </c>
      <c r="E80" s="16" t="s">
        <v>52</v>
      </c>
      <c r="F80" s="16" t="n">
        <v>4</v>
      </c>
      <c r="G80" s="17" t="n">
        <v>900</v>
      </c>
      <c r="H80" s="17" t="n">
        <v>650</v>
      </c>
      <c r="I80" s="17" t="n">
        <f aca="false">F80*G80</f>
        <v>3600</v>
      </c>
      <c r="J80" s="17" t="n">
        <f aca="false">F80*(G80-H80)</f>
        <v>1000</v>
      </c>
    </row>
    <row r="81" customFormat="false" ht="15" hidden="false" customHeight="false" outlineLevel="0" collapsed="false">
      <c r="A81" s="15" t="n">
        <v>46278</v>
      </c>
      <c r="B81" s="16" t="n">
        <f aca="false">MONTH(A81)</f>
        <v>9</v>
      </c>
      <c r="C81" s="16" t="s">
        <v>43</v>
      </c>
      <c r="D81" s="16" t="s">
        <v>33</v>
      </c>
      <c r="E81" s="16" t="s">
        <v>51</v>
      </c>
      <c r="F81" s="16" t="n">
        <v>5</v>
      </c>
      <c r="G81" s="17" t="n">
        <v>450</v>
      </c>
      <c r="H81" s="17" t="n">
        <v>280</v>
      </c>
      <c r="I81" s="17" t="n">
        <f aca="false">F81*G81</f>
        <v>2250</v>
      </c>
      <c r="J81" s="17" t="n">
        <f aca="false">F81*(G81-H81)</f>
        <v>850</v>
      </c>
    </row>
    <row r="82" customFormat="false" ht="15" hidden="false" customHeight="false" outlineLevel="0" collapsed="false">
      <c r="A82" s="15" t="n">
        <v>46218</v>
      </c>
      <c r="B82" s="16" t="n">
        <f aca="false">MONTH(A82)</f>
        <v>7</v>
      </c>
      <c r="C82" s="16" t="s">
        <v>40</v>
      </c>
      <c r="D82" s="16" t="s">
        <v>34</v>
      </c>
      <c r="E82" s="16" t="s">
        <v>51</v>
      </c>
      <c r="F82" s="16" t="n">
        <v>3</v>
      </c>
      <c r="G82" s="17" t="n">
        <v>250</v>
      </c>
      <c r="H82" s="17" t="n">
        <v>140</v>
      </c>
      <c r="I82" s="17" t="n">
        <f aca="false">F82*G82</f>
        <v>750</v>
      </c>
      <c r="J82" s="17" t="n">
        <f aca="false">F82*(G82-H82)</f>
        <v>330</v>
      </c>
    </row>
    <row r="83" customFormat="false" ht="15" hidden="false" customHeight="false" outlineLevel="0" collapsed="false">
      <c r="A83" s="15" t="n">
        <v>46126</v>
      </c>
      <c r="B83" s="16" t="n">
        <f aca="false">MONTH(A83)</f>
        <v>4</v>
      </c>
      <c r="C83" s="16" t="s">
        <v>42</v>
      </c>
      <c r="D83" s="16" t="s">
        <v>32</v>
      </c>
      <c r="E83" s="16" t="s">
        <v>50</v>
      </c>
      <c r="F83" s="16" t="n">
        <v>7</v>
      </c>
      <c r="G83" s="17" t="n">
        <v>3800</v>
      </c>
      <c r="H83" s="17" t="n">
        <v>3000</v>
      </c>
      <c r="I83" s="17" t="n">
        <f aca="false">F83*G83</f>
        <v>26600</v>
      </c>
      <c r="J83" s="17" t="n">
        <f aca="false">F83*(G83-H83)</f>
        <v>5600</v>
      </c>
    </row>
    <row r="84" customFormat="false" ht="15" hidden="false" customHeight="false" outlineLevel="0" collapsed="false">
      <c r="A84" s="15" t="n">
        <v>46097</v>
      </c>
      <c r="B84" s="16" t="n">
        <f aca="false">MONTH(A84)</f>
        <v>3</v>
      </c>
      <c r="C84" s="16" t="s">
        <v>40</v>
      </c>
      <c r="D84" s="16" t="s">
        <v>35</v>
      </c>
      <c r="E84" s="16" t="s">
        <v>52</v>
      </c>
      <c r="F84" s="16" t="n">
        <v>9</v>
      </c>
      <c r="G84" s="17" t="n">
        <v>900</v>
      </c>
      <c r="H84" s="17" t="n">
        <v>650</v>
      </c>
      <c r="I84" s="17" t="n">
        <f aca="false">F84*G84</f>
        <v>8100</v>
      </c>
      <c r="J84" s="17" t="n">
        <f aca="false">F84*(G84-H84)</f>
        <v>2250</v>
      </c>
    </row>
    <row r="85" customFormat="false" ht="15" hidden="false" customHeight="false" outlineLevel="0" collapsed="false">
      <c r="A85" s="15" t="n">
        <v>46063</v>
      </c>
      <c r="B85" s="16" t="n">
        <f aca="false">MONTH(A85)</f>
        <v>2</v>
      </c>
      <c r="C85" s="16" t="s">
        <v>42</v>
      </c>
      <c r="D85" s="16" t="s">
        <v>31</v>
      </c>
      <c r="E85" s="16" t="s">
        <v>50</v>
      </c>
      <c r="F85" s="16" t="n">
        <v>10</v>
      </c>
      <c r="G85" s="17" t="n">
        <v>4200</v>
      </c>
      <c r="H85" s="17" t="n">
        <v>3300</v>
      </c>
      <c r="I85" s="17" t="n">
        <f aca="false">F85*G85</f>
        <v>42000</v>
      </c>
      <c r="J85" s="17" t="n">
        <f aca="false">F85*(G85-H85)</f>
        <v>9000</v>
      </c>
    </row>
    <row r="86" customFormat="false" ht="15" hidden="false" customHeight="false" outlineLevel="0" collapsed="false">
      <c r="A86" s="15" t="n">
        <v>46259</v>
      </c>
      <c r="B86" s="16" t="n">
        <f aca="false">MONTH(A86)</f>
        <v>8</v>
      </c>
      <c r="C86" s="16" t="s">
        <v>40</v>
      </c>
      <c r="D86" s="16" t="s">
        <v>33</v>
      </c>
      <c r="E86" s="16" t="s">
        <v>51</v>
      </c>
      <c r="F86" s="16" t="n">
        <v>3</v>
      </c>
      <c r="G86" s="17" t="n">
        <v>450</v>
      </c>
      <c r="H86" s="17" t="n">
        <v>280</v>
      </c>
      <c r="I86" s="17" t="n">
        <f aca="false">F86*G86</f>
        <v>1350</v>
      </c>
      <c r="J86" s="17" t="n">
        <f aca="false">F86*(G86-H86)</f>
        <v>510</v>
      </c>
    </row>
    <row r="87" customFormat="false" ht="15" hidden="false" customHeight="false" outlineLevel="0" collapsed="false">
      <c r="A87" s="15" t="n">
        <v>46244</v>
      </c>
      <c r="B87" s="16" t="n">
        <f aca="false">MONTH(A87)</f>
        <v>8</v>
      </c>
      <c r="C87" s="16" t="s">
        <v>41</v>
      </c>
      <c r="D87" s="16" t="s">
        <v>35</v>
      </c>
      <c r="E87" s="16" t="s">
        <v>52</v>
      </c>
      <c r="F87" s="16" t="n">
        <v>11</v>
      </c>
      <c r="G87" s="17" t="n">
        <v>900</v>
      </c>
      <c r="H87" s="17" t="n">
        <v>650</v>
      </c>
      <c r="I87" s="17" t="n">
        <f aca="false">F87*G87</f>
        <v>9900</v>
      </c>
      <c r="J87" s="17" t="n">
        <f aca="false">F87*(G87-H87)</f>
        <v>2750</v>
      </c>
    </row>
    <row r="88" customFormat="false" ht="15" hidden="false" customHeight="false" outlineLevel="0" collapsed="false">
      <c r="A88" s="15" t="n">
        <v>46213</v>
      </c>
      <c r="B88" s="16" t="n">
        <f aca="false">MONTH(A88)</f>
        <v>7</v>
      </c>
      <c r="C88" s="16" t="s">
        <v>41</v>
      </c>
      <c r="D88" s="16" t="s">
        <v>32</v>
      </c>
      <c r="E88" s="16" t="s">
        <v>50</v>
      </c>
      <c r="F88" s="16" t="n">
        <v>5</v>
      </c>
      <c r="G88" s="17" t="n">
        <v>3800</v>
      </c>
      <c r="H88" s="17" t="n">
        <v>3000</v>
      </c>
      <c r="I88" s="17" t="n">
        <f aca="false">F88*G88</f>
        <v>19000</v>
      </c>
      <c r="J88" s="17" t="n">
        <f aca="false">F88*(G88-H88)</f>
        <v>4000</v>
      </c>
    </row>
    <row r="89" customFormat="false" ht="15" hidden="false" customHeight="false" outlineLevel="0" collapsed="false">
      <c r="A89" s="15" t="n">
        <v>46037</v>
      </c>
      <c r="B89" s="16" t="n">
        <f aca="false">MONTH(A89)</f>
        <v>1</v>
      </c>
      <c r="C89" s="16" t="s">
        <v>42</v>
      </c>
      <c r="D89" s="16" t="s">
        <v>30</v>
      </c>
      <c r="E89" s="16" t="s">
        <v>50</v>
      </c>
      <c r="F89" s="16" t="n">
        <v>9</v>
      </c>
      <c r="G89" s="17" t="n">
        <v>18500</v>
      </c>
      <c r="H89" s="17" t="n">
        <v>15000</v>
      </c>
      <c r="I89" s="17" t="n">
        <f aca="false">F89*G89</f>
        <v>166500</v>
      </c>
      <c r="J89" s="17" t="n">
        <f aca="false">F89*(G89-H89)</f>
        <v>31500</v>
      </c>
    </row>
    <row r="90" customFormat="false" ht="15" hidden="false" customHeight="false" outlineLevel="0" collapsed="false">
      <c r="A90" s="15" t="n">
        <v>46101</v>
      </c>
      <c r="B90" s="16" t="n">
        <f aca="false">MONTH(A90)</f>
        <v>3</v>
      </c>
      <c r="C90" s="16" t="s">
        <v>41</v>
      </c>
      <c r="D90" s="16" t="s">
        <v>32</v>
      </c>
      <c r="E90" s="16" t="s">
        <v>50</v>
      </c>
      <c r="F90" s="16" t="n">
        <v>4</v>
      </c>
      <c r="G90" s="17" t="n">
        <v>3800</v>
      </c>
      <c r="H90" s="17" t="n">
        <v>3000</v>
      </c>
      <c r="I90" s="17" t="n">
        <f aca="false">F90*G90</f>
        <v>15200</v>
      </c>
      <c r="J90" s="17" t="n">
        <f aca="false">F90*(G90-H90)</f>
        <v>3200</v>
      </c>
    </row>
    <row r="91" customFormat="false" ht="15" hidden="false" customHeight="false" outlineLevel="0" collapsed="false">
      <c r="A91" s="15" t="n">
        <v>46375</v>
      </c>
      <c r="B91" s="16" t="n">
        <f aca="false">MONTH(A91)</f>
        <v>12</v>
      </c>
      <c r="C91" s="16" t="s">
        <v>42</v>
      </c>
      <c r="D91" s="16" t="s">
        <v>34</v>
      </c>
      <c r="E91" s="16" t="s">
        <v>51</v>
      </c>
      <c r="F91" s="16" t="n">
        <v>12</v>
      </c>
      <c r="G91" s="17" t="n">
        <v>250</v>
      </c>
      <c r="H91" s="17" t="n">
        <v>140</v>
      </c>
      <c r="I91" s="17" t="n">
        <f aca="false">F91*G91</f>
        <v>3000</v>
      </c>
      <c r="J91" s="17" t="n">
        <f aca="false">F91*(G91-H91)</f>
        <v>1320</v>
      </c>
    </row>
    <row r="92" customFormat="false" ht="15" hidden="false" customHeight="false" outlineLevel="0" collapsed="false">
      <c r="A92" s="15" t="n">
        <v>46103</v>
      </c>
      <c r="B92" s="16" t="n">
        <f aca="false">MONTH(A92)</f>
        <v>3</v>
      </c>
      <c r="C92" s="16" t="s">
        <v>43</v>
      </c>
      <c r="D92" s="16" t="s">
        <v>33</v>
      </c>
      <c r="E92" s="16" t="s">
        <v>51</v>
      </c>
      <c r="F92" s="16" t="n">
        <v>8</v>
      </c>
      <c r="G92" s="17" t="n">
        <v>450</v>
      </c>
      <c r="H92" s="17" t="n">
        <v>280</v>
      </c>
      <c r="I92" s="17" t="n">
        <f aca="false">F92*G92</f>
        <v>3600</v>
      </c>
      <c r="J92" s="17" t="n">
        <f aca="false">F92*(G92-H92)</f>
        <v>1360</v>
      </c>
    </row>
    <row r="93" customFormat="false" ht="15" hidden="false" customHeight="false" outlineLevel="0" collapsed="false">
      <c r="A93" s="15" t="n">
        <v>46246</v>
      </c>
      <c r="B93" s="16" t="n">
        <f aca="false">MONTH(A93)</f>
        <v>8</v>
      </c>
      <c r="C93" s="16" t="s">
        <v>43</v>
      </c>
      <c r="D93" s="16" t="s">
        <v>33</v>
      </c>
      <c r="E93" s="16" t="s">
        <v>51</v>
      </c>
      <c r="F93" s="16" t="n">
        <v>10</v>
      </c>
      <c r="G93" s="17" t="n">
        <v>450</v>
      </c>
      <c r="H93" s="17" t="n">
        <v>280</v>
      </c>
      <c r="I93" s="17" t="n">
        <f aca="false">F93*G93</f>
        <v>4500</v>
      </c>
      <c r="J93" s="17" t="n">
        <f aca="false">F93*(G93-H93)</f>
        <v>1700</v>
      </c>
    </row>
    <row r="94" customFormat="false" ht="15" hidden="false" customHeight="false" outlineLevel="0" collapsed="false">
      <c r="A94" s="15" t="n">
        <v>46166</v>
      </c>
      <c r="B94" s="16" t="n">
        <f aca="false">MONTH(A94)</f>
        <v>5</v>
      </c>
      <c r="C94" s="16" t="s">
        <v>41</v>
      </c>
      <c r="D94" s="16" t="s">
        <v>35</v>
      </c>
      <c r="E94" s="16" t="s">
        <v>52</v>
      </c>
      <c r="F94" s="16" t="n">
        <v>11</v>
      </c>
      <c r="G94" s="17" t="n">
        <v>900</v>
      </c>
      <c r="H94" s="17" t="n">
        <v>650</v>
      </c>
      <c r="I94" s="17" t="n">
        <f aca="false">F94*G94</f>
        <v>9900</v>
      </c>
      <c r="J94" s="17" t="n">
        <f aca="false">F94*(G94-H94)</f>
        <v>2750</v>
      </c>
    </row>
    <row r="95" customFormat="false" ht="15" hidden="false" customHeight="false" outlineLevel="0" collapsed="false">
      <c r="A95" s="15" t="n">
        <v>46341</v>
      </c>
      <c r="B95" s="16" t="n">
        <f aca="false">MONTH(A95)</f>
        <v>11</v>
      </c>
      <c r="C95" s="16" t="s">
        <v>42</v>
      </c>
      <c r="D95" s="16" t="s">
        <v>33</v>
      </c>
      <c r="E95" s="16" t="s">
        <v>51</v>
      </c>
      <c r="F95" s="16" t="n">
        <v>2</v>
      </c>
      <c r="G95" s="17" t="n">
        <v>450</v>
      </c>
      <c r="H95" s="17" t="n">
        <v>280</v>
      </c>
      <c r="I95" s="17" t="n">
        <f aca="false">F95*G95</f>
        <v>900</v>
      </c>
      <c r="J95" s="17" t="n">
        <f aca="false">F95*(G95-H95)</f>
        <v>340</v>
      </c>
    </row>
    <row r="96" customFormat="false" ht="15" hidden="false" customHeight="false" outlineLevel="0" collapsed="false">
      <c r="A96" s="15" t="n">
        <v>46133</v>
      </c>
      <c r="B96" s="16" t="n">
        <f aca="false">MONTH(A96)</f>
        <v>4</v>
      </c>
      <c r="C96" s="16" t="s">
        <v>40</v>
      </c>
      <c r="D96" s="16" t="s">
        <v>31</v>
      </c>
      <c r="E96" s="16" t="s">
        <v>50</v>
      </c>
      <c r="F96" s="16" t="n">
        <v>6</v>
      </c>
      <c r="G96" s="17" t="n">
        <v>4200</v>
      </c>
      <c r="H96" s="17" t="n">
        <v>3300</v>
      </c>
      <c r="I96" s="17" t="n">
        <f aca="false">F96*G96</f>
        <v>25200</v>
      </c>
      <c r="J96" s="17" t="n">
        <f aca="false">F96*(G96-H96)</f>
        <v>5400</v>
      </c>
    </row>
    <row r="97" customFormat="false" ht="15" hidden="false" customHeight="false" outlineLevel="0" collapsed="false">
      <c r="A97" s="15" t="n">
        <v>46345</v>
      </c>
      <c r="B97" s="16" t="n">
        <f aca="false">MONTH(A97)</f>
        <v>11</v>
      </c>
      <c r="C97" s="16" t="s">
        <v>42</v>
      </c>
      <c r="D97" s="16" t="s">
        <v>36</v>
      </c>
      <c r="E97" s="16" t="s">
        <v>51</v>
      </c>
      <c r="F97" s="16" t="n">
        <v>1</v>
      </c>
      <c r="G97" s="17" t="n">
        <v>700</v>
      </c>
      <c r="H97" s="17" t="n">
        <v>480</v>
      </c>
      <c r="I97" s="17" t="n">
        <f aca="false">F97*G97</f>
        <v>700</v>
      </c>
      <c r="J97" s="17" t="n">
        <f aca="false">F97*(G97-H97)</f>
        <v>220</v>
      </c>
    </row>
    <row r="98" customFormat="false" ht="15" hidden="false" customHeight="false" outlineLevel="0" collapsed="false">
      <c r="A98" s="15" t="n">
        <v>46279</v>
      </c>
      <c r="B98" s="16" t="n">
        <f aca="false">MONTH(A98)</f>
        <v>9</v>
      </c>
      <c r="C98" s="16" t="s">
        <v>40</v>
      </c>
      <c r="D98" s="16" t="s">
        <v>30</v>
      </c>
      <c r="E98" s="16" t="s">
        <v>50</v>
      </c>
      <c r="F98" s="16" t="n">
        <v>7</v>
      </c>
      <c r="G98" s="17" t="n">
        <v>18500</v>
      </c>
      <c r="H98" s="17" t="n">
        <v>15000</v>
      </c>
      <c r="I98" s="17" t="n">
        <f aca="false">F98*G98</f>
        <v>129500</v>
      </c>
      <c r="J98" s="17" t="n">
        <f aca="false">F98*(G98-H98)</f>
        <v>24500</v>
      </c>
    </row>
    <row r="99" customFormat="false" ht="15" hidden="false" customHeight="false" outlineLevel="0" collapsed="false">
      <c r="A99" s="15" t="n">
        <v>46248</v>
      </c>
      <c r="B99" s="16" t="n">
        <f aca="false">MONTH(A99)</f>
        <v>8</v>
      </c>
      <c r="C99" s="16" t="s">
        <v>43</v>
      </c>
      <c r="D99" s="16" t="s">
        <v>34</v>
      </c>
      <c r="E99" s="16" t="s">
        <v>51</v>
      </c>
      <c r="F99" s="16" t="n">
        <v>4</v>
      </c>
      <c r="G99" s="17" t="n">
        <v>250</v>
      </c>
      <c r="H99" s="17" t="n">
        <v>140</v>
      </c>
      <c r="I99" s="17" t="n">
        <f aca="false">F99*G99</f>
        <v>1000</v>
      </c>
      <c r="J99" s="17" t="n">
        <f aca="false">F99*(G99-H99)</f>
        <v>440</v>
      </c>
    </row>
    <row r="100" customFormat="false" ht="15" hidden="false" customHeight="false" outlineLevel="0" collapsed="false">
      <c r="A100" s="15" t="n">
        <v>46301</v>
      </c>
      <c r="B100" s="16" t="n">
        <f aca="false">MONTH(A100)</f>
        <v>10</v>
      </c>
      <c r="C100" s="16" t="s">
        <v>41</v>
      </c>
      <c r="D100" s="16" t="s">
        <v>30</v>
      </c>
      <c r="E100" s="16" t="s">
        <v>50</v>
      </c>
      <c r="F100" s="16" t="n">
        <v>2</v>
      </c>
      <c r="G100" s="17" t="n">
        <v>18500</v>
      </c>
      <c r="H100" s="17" t="n">
        <v>15000</v>
      </c>
      <c r="I100" s="17" t="n">
        <f aca="false">F100*G100</f>
        <v>37000</v>
      </c>
      <c r="J100" s="17" t="n">
        <f aca="false">F100*(G100-H100)</f>
        <v>7000</v>
      </c>
    </row>
    <row r="101" customFormat="false" ht="15" hidden="false" customHeight="false" outlineLevel="0" collapsed="false">
      <c r="A101" s="15" t="n">
        <v>46120</v>
      </c>
      <c r="B101" s="16" t="n">
        <f aca="false">MONTH(A101)</f>
        <v>4</v>
      </c>
      <c r="C101" s="16" t="s">
        <v>43</v>
      </c>
      <c r="D101" s="16" t="s">
        <v>32</v>
      </c>
      <c r="E101" s="16" t="s">
        <v>50</v>
      </c>
      <c r="F101" s="16" t="n">
        <v>6</v>
      </c>
      <c r="G101" s="17" t="n">
        <v>3800</v>
      </c>
      <c r="H101" s="17" t="n">
        <v>3000</v>
      </c>
      <c r="I101" s="17" t="n">
        <f aca="false">F101*G101</f>
        <v>22800</v>
      </c>
      <c r="J101" s="17" t="n">
        <f aca="false">F101*(G101-H101)</f>
        <v>4800</v>
      </c>
    </row>
    <row r="102" customFormat="false" ht="15" hidden="false" customHeight="false" outlineLevel="0" collapsed="false">
      <c r="A102" s="15" t="n">
        <v>46212</v>
      </c>
      <c r="B102" s="16" t="n">
        <f aca="false">MONTH(A102)</f>
        <v>7</v>
      </c>
      <c r="C102" s="16" t="s">
        <v>41</v>
      </c>
      <c r="D102" s="16" t="s">
        <v>30</v>
      </c>
      <c r="E102" s="16" t="s">
        <v>50</v>
      </c>
      <c r="F102" s="16" t="n">
        <v>3</v>
      </c>
      <c r="G102" s="17" t="n">
        <v>18500</v>
      </c>
      <c r="H102" s="17" t="n">
        <v>15000</v>
      </c>
      <c r="I102" s="17" t="n">
        <f aca="false">F102*G102</f>
        <v>55500</v>
      </c>
      <c r="J102" s="17" t="n">
        <f aca="false">F102*(G102-H102)</f>
        <v>10500</v>
      </c>
    </row>
    <row r="103" customFormat="false" ht="15" hidden="false" customHeight="false" outlineLevel="0" collapsed="false">
      <c r="A103" s="15" t="n">
        <v>46244</v>
      </c>
      <c r="B103" s="16" t="n">
        <f aca="false">MONTH(A103)</f>
        <v>8</v>
      </c>
      <c r="C103" s="16" t="s">
        <v>40</v>
      </c>
      <c r="D103" s="16" t="s">
        <v>34</v>
      </c>
      <c r="E103" s="16" t="s">
        <v>51</v>
      </c>
      <c r="F103" s="16" t="n">
        <v>5</v>
      </c>
      <c r="G103" s="17" t="n">
        <v>250</v>
      </c>
      <c r="H103" s="17" t="n">
        <v>140</v>
      </c>
      <c r="I103" s="17" t="n">
        <f aca="false">F103*G103</f>
        <v>1250</v>
      </c>
      <c r="J103" s="17" t="n">
        <f aca="false">F103*(G103-H103)</f>
        <v>550</v>
      </c>
    </row>
    <row r="104" customFormat="false" ht="15" hidden="false" customHeight="false" outlineLevel="0" collapsed="false">
      <c r="A104" s="15" t="n">
        <v>46236</v>
      </c>
      <c r="B104" s="16" t="n">
        <f aca="false">MONTH(A104)</f>
        <v>8</v>
      </c>
      <c r="C104" s="16" t="s">
        <v>43</v>
      </c>
      <c r="D104" s="16" t="s">
        <v>31</v>
      </c>
      <c r="E104" s="16" t="s">
        <v>50</v>
      </c>
      <c r="F104" s="16" t="n">
        <v>9</v>
      </c>
      <c r="G104" s="17" t="n">
        <v>4200</v>
      </c>
      <c r="H104" s="17" t="n">
        <v>3300</v>
      </c>
      <c r="I104" s="17" t="n">
        <f aca="false">F104*G104</f>
        <v>37800</v>
      </c>
      <c r="J104" s="17" t="n">
        <f aca="false">F104*(G104-H104)</f>
        <v>8100</v>
      </c>
    </row>
    <row r="105" customFormat="false" ht="15" hidden="false" customHeight="false" outlineLevel="0" collapsed="false">
      <c r="A105" s="15" t="n">
        <v>46138</v>
      </c>
      <c r="B105" s="16" t="n">
        <f aca="false">MONTH(A105)</f>
        <v>4</v>
      </c>
      <c r="C105" s="16" t="s">
        <v>43</v>
      </c>
      <c r="D105" s="16" t="s">
        <v>31</v>
      </c>
      <c r="E105" s="16" t="s">
        <v>50</v>
      </c>
      <c r="F105" s="16" t="n">
        <v>1</v>
      </c>
      <c r="G105" s="17" t="n">
        <v>4200</v>
      </c>
      <c r="H105" s="17" t="n">
        <v>3300</v>
      </c>
      <c r="I105" s="17" t="n">
        <f aca="false">F105*G105</f>
        <v>4200</v>
      </c>
      <c r="J105" s="17" t="n">
        <f aca="false">F105*(G105-H105)</f>
        <v>900</v>
      </c>
    </row>
    <row r="106" customFormat="false" ht="15" hidden="false" customHeight="false" outlineLevel="0" collapsed="false">
      <c r="A106" s="15" t="n">
        <v>46321</v>
      </c>
      <c r="B106" s="16" t="n">
        <f aca="false">MONTH(A106)</f>
        <v>10</v>
      </c>
      <c r="C106" s="16" t="s">
        <v>40</v>
      </c>
      <c r="D106" s="16" t="s">
        <v>35</v>
      </c>
      <c r="E106" s="16" t="s">
        <v>52</v>
      </c>
      <c r="F106" s="16" t="n">
        <v>2</v>
      </c>
      <c r="G106" s="17" t="n">
        <v>900</v>
      </c>
      <c r="H106" s="17" t="n">
        <v>650</v>
      </c>
      <c r="I106" s="17" t="n">
        <f aca="false">F106*G106</f>
        <v>1800</v>
      </c>
      <c r="J106" s="17" t="n">
        <f aca="false">F106*(G106-H106)</f>
        <v>500</v>
      </c>
    </row>
    <row r="107" customFormat="false" ht="15" hidden="false" customHeight="false" outlineLevel="0" collapsed="false">
      <c r="A107" s="15" t="n">
        <v>46359</v>
      </c>
      <c r="B107" s="16" t="n">
        <f aca="false">MONTH(A107)</f>
        <v>12</v>
      </c>
      <c r="C107" s="16" t="s">
        <v>41</v>
      </c>
      <c r="D107" s="16" t="s">
        <v>33</v>
      </c>
      <c r="E107" s="16" t="s">
        <v>51</v>
      </c>
      <c r="F107" s="16" t="n">
        <v>3</v>
      </c>
      <c r="G107" s="17" t="n">
        <v>450</v>
      </c>
      <c r="H107" s="17" t="n">
        <v>280</v>
      </c>
      <c r="I107" s="17" t="n">
        <f aca="false">F107*G107</f>
        <v>1350</v>
      </c>
      <c r="J107" s="17" t="n">
        <f aca="false">F107*(G107-H107)</f>
        <v>510</v>
      </c>
    </row>
    <row r="108" customFormat="false" ht="15" hidden="false" customHeight="false" outlineLevel="0" collapsed="false">
      <c r="A108" s="15" t="n">
        <v>46277</v>
      </c>
      <c r="B108" s="16" t="n">
        <f aca="false">MONTH(A108)</f>
        <v>9</v>
      </c>
      <c r="C108" s="16" t="s">
        <v>43</v>
      </c>
      <c r="D108" s="16" t="s">
        <v>30</v>
      </c>
      <c r="E108" s="16" t="s">
        <v>50</v>
      </c>
      <c r="F108" s="16" t="n">
        <v>8</v>
      </c>
      <c r="G108" s="17" t="n">
        <v>18500</v>
      </c>
      <c r="H108" s="17" t="n">
        <v>15000</v>
      </c>
      <c r="I108" s="17" t="n">
        <f aca="false">F108*G108</f>
        <v>148000</v>
      </c>
      <c r="J108" s="17" t="n">
        <f aca="false">F108*(G108-H108)</f>
        <v>28000</v>
      </c>
    </row>
    <row r="109" customFormat="false" ht="15" hidden="false" customHeight="false" outlineLevel="0" collapsed="false">
      <c r="A109" s="15" t="n">
        <v>46369</v>
      </c>
      <c r="B109" s="16" t="n">
        <f aca="false">MONTH(A109)</f>
        <v>12</v>
      </c>
      <c r="C109" s="16" t="s">
        <v>42</v>
      </c>
      <c r="D109" s="16" t="s">
        <v>35</v>
      </c>
      <c r="E109" s="16" t="s">
        <v>52</v>
      </c>
      <c r="F109" s="16" t="n">
        <v>3</v>
      </c>
      <c r="G109" s="17" t="n">
        <v>900</v>
      </c>
      <c r="H109" s="17" t="n">
        <v>650</v>
      </c>
      <c r="I109" s="17" t="n">
        <f aca="false">F109*G109</f>
        <v>2700</v>
      </c>
      <c r="J109" s="17" t="n">
        <f aca="false">F109*(G109-H109)</f>
        <v>750</v>
      </c>
    </row>
    <row r="110" customFormat="false" ht="15" hidden="false" customHeight="false" outlineLevel="0" collapsed="false">
      <c r="A110" s="15" t="n">
        <v>46101</v>
      </c>
      <c r="B110" s="16" t="n">
        <f aca="false">MONTH(A110)</f>
        <v>3</v>
      </c>
      <c r="C110" s="16" t="s">
        <v>42</v>
      </c>
      <c r="D110" s="16" t="s">
        <v>32</v>
      </c>
      <c r="E110" s="16" t="s">
        <v>50</v>
      </c>
      <c r="F110" s="16" t="n">
        <v>5</v>
      </c>
      <c r="G110" s="17" t="n">
        <v>3800</v>
      </c>
      <c r="H110" s="17" t="n">
        <v>3000</v>
      </c>
      <c r="I110" s="17" t="n">
        <f aca="false">F110*G110</f>
        <v>19000</v>
      </c>
      <c r="J110" s="17" t="n">
        <f aca="false">F110*(G110-H110)</f>
        <v>4000</v>
      </c>
    </row>
    <row r="111" customFormat="false" ht="15" hidden="false" customHeight="false" outlineLevel="0" collapsed="false">
      <c r="A111" s="15" t="n">
        <v>46350</v>
      </c>
      <c r="B111" s="16" t="n">
        <f aca="false">MONTH(A111)</f>
        <v>11</v>
      </c>
      <c r="C111" s="16" t="s">
        <v>40</v>
      </c>
      <c r="D111" s="16" t="s">
        <v>32</v>
      </c>
      <c r="E111" s="16" t="s">
        <v>50</v>
      </c>
      <c r="F111" s="16" t="n">
        <v>2</v>
      </c>
      <c r="G111" s="17" t="n">
        <v>3800</v>
      </c>
      <c r="H111" s="17" t="n">
        <v>3000</v>
      </c>
      <c r="I111" s="17" t="n">
        <f aca="false">F111*G111</f>
        <v>7600</v>
      </c>
      <c r="J111" s="17" t="n">
        <f aca="false">F111*(G111-H111)</f>
        <v>1600</v>
      </c>
    </row>
    <row r="112" customFormat="false" ht="15" hidden="false" customHeight="false" outlineLevel="0" collapsed="false">
      <c r="A112" s="15" t="n">
        <v>46057</v>
      </c>
      <c r="B112" s="16" t="n">
        <f aca="false">MONTH(A112)</f>
        <v>2</v>
      </c>
      <c r="C112" s="16" t="s">
        <v>41</v>
      </c>
      <c r="D112" s="16" t="s">
        <v>35</v>
      </c>
      <c r="E112" s="16" t="s">
        <v>52</v>
      </c>
      <c r="F112" s="16" t="n">
        <v>9</v>
      </c>
      <c r="G112" s="17" t="n">
        <v>900</v>
      </c>
      <c r="H112" s="17" t="n">
        <v>650</v>
      </c>
      <c r="I112" s="17" t="n">
        <f aca="false">F112*G112</f>
        <v>8100</v>
      </c>
      <c r="J112" s="17" t="n">
        <f aca="false">F112*(G112-H112)</f>
        <v>2250</v>
      </c>
    </row>
    <row r="113" customFormat="false" ht="15" hidden="false" customHeight="false" outlineLevel="0" collapsed="false">
      <c r="A113" s="15" t="n">
        <v>46370</v>
      </c>
      <c r="B113" s="16" t="n">
        <f aca="false">MONTH(A113)</f>
        <v>12</v>
      </c>
      <c r="C113" s="16" t="s">
        <v>41</v>
      </c>
      <c r="D113" s="16" t="s">
        <v>30</v>
      </c>
      <c r="E113" s="16" t="s">
        <v>50</v>
      </c>
      <c r="F113" s="16" t="n">
        <v>6</v>
      </c>
      <c r="G113" s="17" t="n">
        <v>18500</v>
      </c>
      <c r="H113" s="17" t="n">
        <v>15000</v>
      </c>
      <c r="I113" s="17" t="n">
        <f aca="false">F113*G113</f>
        <v>111000</v>
      </c>
      <c r="J113" s="17" t="n">
        <f aca="false">F113*(G113-H113)</f>
        <v>21000</v>
      </c>
    </row>
    <row r="114" customFormat="false" ht="15" hidden="false" customHeight="false" outlineLevel="0" collapsed="false">
      <c r="A114" s="15" t="n">
        <v>46203</v>
      </c>
      <c r="B114" s="16" t="n">
        <f aca="false">MONTH(A114)</f>
        <v>6</v>
      </c>
      <c r="C114" s="16" t="s">
        <v>40</v>
      </c>
      <c r="D114" s="16" t="s">
        <v>32</v>
      </c>
      <c r="E114" s="16" t="s">
        <v>50</v>
      </c>
      <c r="F114" s="16" t="n">
        <v>3</v>
      </c>
      <c r="G114" s="17" t="n">
        <v>3800</v>
      </c>
      <c r="H114" s="17" t="n">
        <v>3000</v>
      </c>
      <c r="I114" s="17" t="n">
        <f aca="false">F114*G114</f>
        <v>11400</v>
      </c>
      <c r="J114" s="17" t="n">
        <f aca="false">F114*(G114-H114)</f>
        <v>2400</v>
      </c>
    </row>
    <row r="115" customFormat="false" ht="15" hidden="false" customHeight="false" outlineLevel="0" collapsed="false">
      <c r="A115" s="15" t="n">
        <v>46322</v>
      </c>
      <c r="B115" s="16" t="n">
        <f aca="false">MONTH(A115)</f>
        <v>10</v>
      </c>
      <c r="C115" s="16" t="s">
        <v>43</v>
      </c>
      <c r="D115" s="16" t="s">
        <v>30</v>
      </c>
      <c r="E115" s="16" t="s">
        <v>50</v>
      </c>
      <c r="F115" s="16" t="n">
        <v>5</v>
      </c>
      <c r="G115" s="17" t="n">
        <v>18500</v>
      </c>
      <c r="H115" s="17" t="n">
        <v>15000</v>
      </c>
      <c r="I115" s="17" t="n">
        <f aca="false">F115*G115</f>
        <v>92500</v>
      </c>
      <c r="J115" s="17" t="n">
        <f aca="false">F115*(G115-H115)</f>
        <v>17500</v>
      </c>
    </row>
    <row r="116" customFormat="false" ht="15" hidden="false" customHeight="false" outlineLevel="0" collapsed="false">
      <c r="A116" s="15" t="n">
        <v>46357</v>
      </c>
      <c r="B116" s="16" t="n">
        <f aca="false">MONTH(A116)</f>
        <v>12</v>
      </c>
      <c r="C116" s="16" t="s">
        <v>43</v>
      </c>
      <c r="D116" s="16" t="s">
        <v>35</v>
      </c>
      <c r="E116" s="16" t="s">
        <v>52</v>
      </c>
      <c r="F116" s="16" t="n">
        <v>3</v>
      </c>
      <c r="G116" s="17" t="n">
        <v>900</v>
      </c>
      <c r="H116" s="17" t="n">
        <v>650</v>
      </c>
      <c r="I116" s="17" t="n">
        <f aca="false">F116*G116</f>
        <v>2700</v>
      </c>
      <c r="J116" s="17" t="n">
        <f aca="false">F116*(G116-H116)</f>
        <v>750</v>
      </c>
    </row>
    <row r="117" customFormat="false" ht="15" hidden="false" customHeight="false" outlineLevel="0" collapsed="false">
      <c r="A117" s="15" t="n">
        <v>46076</v>
      </c>
      <c r="B117" s="16" t="n">
        <f aca="false">MONTH(A117)</f>
        <v>2</v>
      </c>
      <c r="C117" s="16" t="s">
        <v>41</v>
      </c>
      <c r="D117" s="16" t="s">
        <v>30</v>
      </c>
      <c r="E117" s="16" t="s">
        <v>50</v>
      </c>
      <c r="F117" s="16" t="n">
        <v>6</v>
      </c>
      <c r="G117" s="17" t="n">
        <v>18500</v>
      </c>
      <c r="H117" s="17" t="n">
        <v>15000</v>
      </c>
      <c r="I117" s="17" t="n">
        <f aca="false">F117*G117</f>
        <v>111000</v>
      </c>
      <c r="J117" s="17" t="n">
        <f aca="false">F117*(G117-H117)</f>
        <v>21000</v>
      </c>
    </row>
    <row r="118" customFormat="false" ht="15" hidden="false" customHeight="false" outlineLevel="0" collapsed="false">
      <c r="A118" s="15" t="n">
        <v>46151</v>
      </c>
      <c r="B118" s="16" t="n">
        <f aca="false">MONTH(A118)</f>
        <v>5</v>
      </c>
      <c r="C118" s="16" t="s">
        <v>43</v>
      </c>
      <c r="D118" s="16" t="s">
        <v>34</v>
      </c>
      <c r="E118" s="16" t="s">
        <v>51</v>
      </c>
      <c r="F118" s="16" t="n">
        <v>4</v>
      </c>
      <c r="G118" s="17" t="n">
        <v>250</v>
      </c>
      <c r="H118" s="17" t="n">
        <v>140</v>
      </c>
      <c r="I118" s="17" t="n">
        <f aca="false">F118*G118</f>
        <v>1000</v>
      </c>
      <c r="J118" s="17" t="n">
        <f aca="false">F118*(G118-H118)</f>
        <v>440</v>
      </c>
    </row>
    <row r="119" customFormat="false" ht="15" hidden="false" customHeight="false" outlineLevel="0" collapsed="false">
      <c r="A119" s="15" t="n">
        <v>46122</v>
      </c>
      <c r="B119" s="16" t="n">
        <f aca="false">MONTH(A119)</f>
        <v>4</v>
      </c>
      <c r="C119" s="16" t="s">
        <v>43</v>
      </c>
      <c r="D119" s="16" t="s">
        <v>35</v>
      </c>
      <c r="E119" s="16" t="s">
        <v>52</v>
      </c>
      <c r="F119" s="16" t="n">
        <v>2</v>
      </c>
      <c r="G119" s="17" t="n">
        <v>900</v>
      </c>
      <c r="H119" s="17" t="n">
        <v>650</v>
      </c>
      <c r="I119" s="17" t="n">
        <f aca="false">F119*G119</f>
        <v>1800</v>
      </c>
      <c r="J119" s="17" t="n">
        <f aca="false">F119*(G119-H119)</f>
        <v>500</v>
      </c>
    </row>
    <row r="120" customFormat="false" ht="15" hidden="false" customHeight="false" outlineLevel="0" collapsed="false">
      <c r="A120" s="15" t="n">
        <v>46135</v>
      </c>
      <c r="B120" s="16" t="n">
        <f aca="false">MONTH(A120)</f>
        <v>4</v>
      </c>
      <c r="C120" s="16" t="s">
        <v>41</v>
      </c>
      <c r="D120" s="16" t="s">
        <v>32</v>
      </c>
      <c r="E120" s="16" t="s">
        <v>50</v>
      </c>
      <c r="F120" s="16" t="n">
        <v>9</v>
      </c>
      <c r="G120" s="17" t="n">
        <v>3800</v>
      </c>
      <c r="H120" s="17" t="n">
        <v>3000</v>
      </c>
      <c r="I120" s="17" t="n">
        <f aca="false">F120*G120</f>
        <v>34200</v>
      </c>
      <c r="J120" s="17" t="n">
        <f aca="false">F120*(G120-H120)</f>
        <v>7200</v>
      </c>
    </row>
    <row r="121" customFormat="false" ht="15" hidden="false" customHeight="false" outlineLevel="0" collapsed="false">
      <c r="A121" s="15" t="n">
        <v>46203</v>
      </c>
      <c r="B121" s="16" t="n">
        <f aca="false">MONTH(A121)</f>
        <v>6</v>
      </c>
      <c r="C121" s="16" t="s">
        <v>41</v>
      </c>
      <c r="D121" s="16" t="s">
        <v>30</v>
      </c>
      <c r="E121" s="16" t="s">
        <v>50</v>
      </c>
      <c r="F121" s="16" t="n">
        <v>1</v>
      </c>
      <c r="G121" s="17" t="n">
        <v>18500</v>
      </c>
      <c r="H121" s="17" t="n">
        <v>15000</v>
      </c>
      <c r="I121" s="17" t="n">
        <f aca="false">F121*G121</f>
        <v>18500</v>
      </c>
      <c r="J121" s="17" t="n">
        <f aca="false">F121*(G121-H121)</f>
        <v>3500</v>
      </c>
    </row>
    <row r="122" customFormat="false" ht="15" hidden="false" customHeight="false" outlineLevel="0" collapsed="false">
      <c r="A122" s="15" t="n">
        <v>46211</v>
      </c>
      <c r="B122" s="16" t="n">
        <f aca="false">MONTH(A122)</f>
        <v>7</v>
      </c>
      <c r="C122" s="16" t="s">
        <v>43</v>
      </c>
      <c r="D122" s="16" t="s">
        <v>35</v>
      </c>
      <c r="E122" s="16" t="s">
        <v>52</v>
      </c>
      <c r="F122" s="16" t="n">
        <v>8</v>
      </c>
      <c r="G122" s="17" t="n">
        <v>900</v>
      </c>
      <c r="H122" s="17" t="n">
        <v>650</v>
      </c>
      <c r="I122" s="17" t="n">
        <f aca="false">F122*G122</f>
        <v>7200</v>
      </c>
      <c r="J122" s="17" t="n">
        <f aca="false">F122*(G122-H122)</f>
        <v>2000</v>
      </c>
    </row>
    <row r="123" customFormat="false" ht="15" hidden="false" customHeight="false" outlineLevel="0" collapsed="false">
      <c r="A123" s="15" t="n">
        <v>46249</v>
      </c>
      <c r="B123" s="16" t="n">
        <f aca="false">MONTH(A123)</f>
        <v>8</v>
      </c>
      <c r="C123" s="16" t="s">
        <v>40</v>
      </c>
      <c r="D123" s="16" t="s">
        <v>31</v>
      </c>
      <c r="E123" s="16" t="s">
        <v>50</v>
      </c>
      <c r="F123" s="16" t="n">
        <v>5</v>
      </c>
      <c r="G123" s="17" t="n">
        <v>4200</v>
      </c>
      <c r="H123" s="17" t="n">
        <v>3300</v>
      </c>
      <c r="I123" s="17" t="n">
        <f aca="false">F123*G123</f>
        <v>21000</v>
      </c>
      <c r="J123" s="17" t="n">
        <f aca="false">F123*(G123-H123)</f>
        <v>4500</v>
      </c>
    </row>
    <row r="124" customFormat="false" ht="15" hidden="false" customHeight="false" outlineLevel="0" collapsed="false">
      <c r="A124" s="15" t="n">
        <v>46051</v>
      </c>
      <c r="B124" s="16" t="n">
        <f aca="false">MONTH(A124)</f>
        <v>1</v>
      </c>
      <c r="C124" s="16" t="s">
        <v>41</v>
      </c>
      <c r="D124" s="16" t="s">
        <v>35</v>
      </c>
      <c r="E124" s="16" t="s">
        <v>52</v>
      </c>
      <c r="F124" s="16" t="n">
        <v>11</v>
      </c>
      <c r="G124" s="17" t="n">
        <v>900</v>
      </c>
      <c r="H124" s="17" t="n">
        <v>650</v>
      </c>
      <c r="I124" s="17" t="n">
        <f aca="false">F124*G124</f>
        <v>9900</v>
      </c>
      <c r="J124" s="17" t="n">
        <f aca="false">F124*(G124-H124)</f>
        <v>2750</v>
      </c>
    </row>
    <row r="125" customFormat="false" ht="15" hidden="false" customHeight="false" outlineLevel="0" collapsed="false">
      <c r="A125" s="15" t="n">
        <v>46354</v>
      </c>
      <c r="B125" s="16" t="n">
        <f aca="false">MONTH(A125)</f>
        <v>11</v>
      </c>
      <c r="C125" s="16" t="s">
        <v>40</v>
      </c>
      <c r="D125" s="16" t="s">
        <v>36</v>
      </c>
      <c r="E125" s="16" t="s">
        <v>51</v>
      </c>
      <c r="F125" s="16" t="n">
        <v>5</v>
      </c>
      <c r="G125" s="17" t="n">
        <v>700</v>
      </c>
      <c r="H125" s="17" t="n">
        <v>480</v>
      </c>
      <c r="I125" s="17" t="n">
        <f aca="false">F125*G125</f>
        <v>3500</v>
      </c>
      <c r="J125" s="17" t="n">
        <f aca="false">F125*(G125-H125)</f>
        <v>1100</v>
      </c>
    </row>
    <row r="126" customFormat="false" ht="15" hidden="false" customHeight="false" outlineLevel="0" collapsed="false">
      <c r="A126" s="15" t="n">
        <v>46130</v>
      </c>
      <c r="B126" s="16" t="n">
        <f aca="false">MONTH(A126)</f>
        <v>4</v>
      </c>
      <c r="C126" s="16" t="s">
        <v>43</v>
      </c>
      <c r="D126" s="16" t="s">
        <v>33</v>
      </c>
      <c r="E126" s="16" t="s">
        <v>51</v>
      </c>
      <c r="F126" s="16" t="n">
        <v>12</v>
      </c>
      <c r="G126" s="17" t="n">
        <v>450</v>
      </c>
      <c r="H126" s="17" t="n">
        <v>280</v>
      </c>
      <c r="I126" s="17" t="n">
        <f aca="false">F126*G126</f>
        <v>5400</v>
      </c>
      <c r="J126" s="17" t="n">
        <f aca="false">F126*(G126-H126)</f>
        <v>2040</v>
      </c>
    </row>
    <row r="127" customFormat="false" ht="15" hidden="false" customHeight="false" outlineLevel="0" collapsed="false">
      <c r="A127" s="15" t="n">
        <v>46210</v>
      </c>
      <c r="B127" s="16" t="n">
        <f aca="false">MONTH(A127)</f>
        <v>7</v>
      </c>
      <c r="C127" s="16" t="s">
        <v>40</v>
      </c>
      <c r="D127" s="16" t="s">
        <v>36</v>
      </c>
      <c r="E127" s="16" t="s">
        <v>51</v>
      </c>
      <c r="F127" s="16" t="n">
        <v>6</v>
      </c>
      <c r="G127" s="17" t="n">
        <v>700</v>
      </c>
      <c r="H127" s="17" t="n">
        <v>480</v>
      </c>
      <c r="I127" s="17" t="n">
        <f aca="false">F127*G127</f>
        <v>4200</v>
      </c>
      <c r="J127" s="17" t="n">
        <f aca="false">F127*(G127-H127)</f>
        <v>1320</v>
      </c>
    </row>
    <row r="128" customFormat="false" ht="15" hidden="false" customHeight="false" outlineLevel="0" collapsed="false">
      <c r="A128" s="15" t="n">
        <v>46337</v>
      </c>
      <c r="B128" s="16" t="n">
        <f aca="false">MONTH(A128)</f>
        <v>11</v>
      </c>
      <c r="C128" s="16" t="s">
        <v>42</v>
      </c>
      <c r="D128" s="16" t="s">
        <v>31</v>
      </c>
      <c r="E128" s="16" t="s">
        <v>50</v>
      </c>
      <c r="F128" s="16" t="n">
        <v>10</v>
      </c>
      <c r="G128" s="17" t="n">
        <v>4200</v>
      </c>
      <c r="H128" s="17" t="n">
        <v>3300</v>
      </c>
      <c r="I128" s="17" t="n">
        <f aca="false">F128*G128</f>
        <v>42000</v>
      </c>
      <c r="J128" s="17" t="n">
        <f aca="false">F128*(G128-H128)</f>
        <v>9000</v>
      </c>
    </row>
    <row r="129" customFormat="false" ht="15" hidden="false" customHeight="false" outlineLevel="0" collapsed="false">
      <c r="A129" s="15" t="n">
        <v>46215</v>
      </c>
      <c r="B129" s="16" t="n">
        <f aca="false">MONTH(A129)</f>
        <v>7</v>
      </c>
      <c r="C129" s="16" t="s">
        <v>41</v>
      </c>
      <c r="D129" s="16" t="s">
        <v>30</v>
      </c>
      <c r="E129" s="16" t="s">
        <v>50</v>
      </c>
      <c r="F129" s="16" t="n">
        <v>3</v>
      </c>
      <c r="G129" s="17" t="n">
        <v>18500</v>
      </c>
      <c r="H129" s="17" t="n">
        <v>15000</v>
      </c>
      <c r="I129" s="17" t="n">
        <f aca="false">F129*G129</f>
        <v>55500</v>
      </c>
      <c r="J129" s="17" t="n">
        <f aca="false">F129*(G129-H129)</f>
        <v>10500</v>
      </c>
    </row>
    <row r="130" customFormat="false" ht="15" hidden="false" customHeight="false" outlineLevel="0" collapsed="false">
      <c r="A130" s="15" t="n">
        <v>46279</v>
      </c>
      <c r="B130" s="16" t="n">
        <f aca="false">MONTH(A130)</f>
        <v>9</v>
      </c>
      <c r="C130" s="16" t="s">
        <v>43</v>
      </c>
      <c r="D130" s="16" t="s">
        <v>34</v>
      </c>
      <c r="E130" s="16" t="s">
        <v>51</v>
      </c>
      <c r="F130" s="16" t="n">
        <v>4</v>
      </c>
      <c r="G130" s="17" t="n">
        <v>250</v>
      </c>
      <c r="H130" s="17" t="n">
        <v>140</v>
      </c>
      <c r="I130" s="17" t="n">
        <f aca="false">F130*G130</f>
        <v>1000</v>
      </c>
      <c r="J130" s="17" t="n">
        <f aca="false">F130*(G130-H130)</f>
        <v>440</v>
      </c>
    </row>
    <row r="131" customFormat="false" ht="15" hidden="false" customHeight="false" outlineLevel="0" collapsed="false">
      <c r="A131" s="15" t="n">
        <v>46286</v>
      </c>
      <c r="B131" s="16" t="n">
        <f aca="false">MONTH(A131)</f>
        <v>9</v>
      </c>
      <c r="C131" s="16" t="s">
        <v>42</v>
      </c>
      <c r="D131" s="16" t="s">
        <v>31</v>
      </c>
      <c r="E131" s="16" t="s">
        <v>50</v>
      </c>
      <c r="F131" s="16" t="n">
        <v>8</v>
      </c>
      <c r="G131" s="17" t="n">
        <v>4200</v>
      </c>
      <c r="H131" s="17" t="n">
        <v>3300</v>
      </c>
      <c r="I131" s="17" t="n">
        <f aca="false">F131*G131</f>
        <v>33600</v>
      </c>
      <c r="J131" s="17" t="n">
        <f aca="false">F131*(G131-H131)</f>
        <v>7200</v>
      </c>
    </row>
    <row r="132" customFormat="false" ht="15" hidden="false" customHeight="false" outlineLevel="0" collapsed="false">
      <c r="A132" s="15" t="n">
        <v>46208</v>
      </c>
      <c r="B132" s="16" t="n">
        <f aca="false">MONTH(A132)</f>
        <v>7</v>
      </c>
      <c r="C132" s="16" t="s">
        <v>40</v>
      </c>
      <c r="D132" s="16" t="s">
        <v>35</v>
      </c>
      <c r="E132" s="16" t="s">
        <v>52</v>
      </c>
      <c r="F132" s="16" t="n">
        <v>4</v>
      </c>
      <c r="G132" s="17" t="n">
        <v>900</v>
      </c>
      <c r="H132" s="17" t="n">
        <v>650</v>
      </c>
      <c r="I132" s="17" t="n">
        <f aca="false">F132*G132</f>
        <v>3600</v>
      </c>
      <c r="J132" s="17" t="n">
        <f aca="false">F132*(G132-H132)</f>
        <v>1000</v>
      </c>
    </row>
    <row r="133" customFormat="false" ht="15" hidden="false" customHeight="false" outlineLevel="0" collapsed="false">
      <c r="A133" s="15" t="n">
        <v>46329</v>
      </c>
      <c r="B133" s="16" t="n">
        <f aca="false">MONTH(A133)</f>
        <v>11</v>
      </c>
      <c r="C133" s="16" t="s">
        <v>41</v>
      </c>
      <c r="D133" s="16" t="s">
        <v>33</v>
      </c>
      <c r="E133" s="16" t="s">
        <v>51</v>
      </c>
      <c r="F133" s="16" t="n">
        <v>6</v>
      </c>
      <c r="G133" s="17" t="n">
        <v>450</v>
      </c>
      <c r="H133" s="17" t="n">
        <v>280</v>
      </c>
      <c r="I133" s="17" t="n">
        <f aca="false">F133*G133</f>
        <v>2700</v>
      </c>
      <c r="J133" s="17" t="n">
        <f aca="false">F133*(G133-H133)</f>
        <v>1020</v>
      </c>
    </row>
    <row r="134" customFormat="false" ht="15" hidden="false" customHeight="false" outlineLevel="0" collapsed="false">
      <c r="A134" s="15" t="n">
        <v>46366</v>
      </c>
      <c r="B134" s="16" t="n">
        <f aca="false">MONTH(A134)</f>
        <v>12</v>
      </c>
      <c r="C134" s="16" t="s">
        <v>42</v>
      </c>
      <c r="D134" s="16" t="s">
        <v>34</v>
      </c>
      <c r="E134" s="16" t="s">
        <v>51</v>
      </c>
      <c r="F134" s="16" t="n">
        <v>10</v>
      </c>
      <c r="G134" s="17" t="n">
        <v>250</v>
      </c>
      <c r="H134" s="17" t="n">
        <v>140</v>
      </c>
      <c r="I134" s="17" t="n">
        <f aca="false">F134*G134</f>
        <v>2500</v>
      </c>
      <c r="J134" s="17" t="n">
        <f aca="false">F134*(G134-H134)</f>
        <v>1100</v>
      </c>
    </row>
    <row r="135" customFormat="false" ht="15" hidden="false" customHeight="false" outlineLevel="0" collapsed="false">
      <c r="A135" s="15" t="n">
        <v>46036</v>
      </c>
      <c r="B135" s="16" t="n">
        <f aca="false">MONTH(A135)</f>
        <v>1</v>
      </c>
      <c r="C135" s="16" t="s">
        <v>43</v>
      </c>
      <c r="D135" s="16" t="s">
        <v>31</v>
      </c>
      <c r="E135" s="16" t="s">
        <v>50</v>
      </c>
      <c r="F135" s="16" t="n">
        <v>10</v>
      </c>
      <c r="G135" s="17" t="n">
        <v>4200</v>
      </c>
      <c r="H135" s="17" t="n">
        <v>3300</v>
      </c>
      <c r="I135" s="17" t="n">
        <f aca="false">F135*G135</f>
        <v>42000</v>
      </c>
      <c r="J135" s="17" t="n">
        <f aca="false">F135*(G135-H135)</f>
        <v>9000</v>
      </c>
    </row>
    <row r="136" customFormat="false" ht="15" hidden="false" customHeight="false" outlineLevel="0" collapsed="false">
      <c r="A136" s="15" t="n">
        <v>46036</v>
      </c>
      <c r="B136" s="16" t="n">
        <f aca="false">MONTH(A136)</f>
        <v>1</v>
      </c>
      <c r="C136" s="16" t="s">
        <v>41</v>
      </c>
      <c r="D136" s="16" t="s">
        <v>36</v>
      </c>
      <c r="E136" s="16" t="s">
        <v>51</v>
      </c>
      <c r="F136" s="16" t="n">
        <v>12</v>
      </c>
      <c r="G136" s="17" t="n">
        <v>700</v>
      </c>
      <c r="H136" s="17" t="n">
        <v>480</v>
      </c>
      <c r="I136" s="17" t="n">
        <f aca="false">F136*G136</f>
        <v>8400</v>
      </c>
      <c r="J136" s="17" t="n">
        <f aca="false">F136*(G136-H136)</f>
        <v>2640</v>
      </c>
    </row>
    <row r="137" customFormat="false" ht="15" hidden="false" customHeight="false" outlineLevel="0" collapsed="false">
      <c r="A137" s="15" t="n">
        <v>46131</v>
      </c>
      <c r="B137" s="16" t="n">
        <f aca="false">MONTH(A137)</f>
        <v>4</v>
      </c>
      <c r="C137" s="16" t="s">
        <v>42</v>
      </c>
      <c r="D137" s="16" t="s">
        <v>30</v>
      </c>
      <c r="E137" s="16" t="s">
        <v>50</v>
      </c>
      <c r="F137" s="16" t="n">
        <v>9</v>
      </c>
      <c r="G137" s="17" t="n">
        <v>18500</v>
      </c>
      <c r="H137" s="17" t="n">
        <v>15000</v>
      </c>
      <c r="I137" s="17" t="n">
        <f aca="false">F137*G137</f>
        <v>166500</v>
      </c>
      <c r="J137" s="17" t="n">
        <f aca="false">F137*(G137-H137)</f>
        <v>31500</v>
      </c>
    </row>
    <row r="138" customFormat="false" ht="15" hidden="false" customHeight="false" outlineLevel="0" collapsed="false">
      <c r="A138" s="15" t="n">
        <v>46085</v>
      </c>
      <c r="B138" s="16" t="n">
        <f aca="false">MONTH(A138)</f>
        <v>3</v>
      </c>
      <c r="C138" s="16" t="s">
        <v>41</v>
      </c>
      <c r="D138" s="16" t="s">
        <v>32</v>
      </c>
      <c r="E138" s="16" t="s">
        <v>50</v>
      </c>
      <c r="F138" s="16" t="n">
        <v>4</v>
      </c>
      <c r="G138" s="17" t="n">
        <v>3800</v>
      </c>
      <c r="H138" s="17" t="n">
        <v>3000</v>
      </c>
      <c r="I138" s="17" t="n">
        <f aca="false">F138*G138</f>
        <v>15200</v>
      </c>
      <c r="J138" s="17" t="n">
        <f aca="false">F138*(G138-H138)</f>
        <v>3200</v>
      </c>
    </row>
    <row r="139" customFormat="false" ht="15" hidden="false" customHeight="false" outlineLevel="0" collapsed="false">
      <c r="A139" s="15" t="n">
        <v>46240</v>
      </c>
      <c r="B139" s="16" t="n">
        <f aca="false">MONTH(A139)</f>
        <v>8</v>
      </c>
      <c r="C139" s="16" t="s">
        <v>43</v>
      </c>
      <c r="D139" s="16" t="s">
        <v>35</v>
      </c>
      <c r="E139" s="16" t="s">
        <v>52</v>
      </c>
      <c r="F139" s="16" t="n">
        <v>8</v>
      </c>
      <c r="G139" s="17" t="n">
        <v>900</v>
      </c>
      <c r="H139" s="17" t="n">
        <v>650</v>
      </c>
      <c r="I139" s="17" t="n">
        <f aca="false">F139*G139</f>
        <v>7200</v>
      </c>
      <c r="J139" s="17" t="n">
        <f aca="false">F139*(G139-H139)</f>
        <v>2000</v>
      </c>
    </row>
    <row r="140" customFormat="false" ht="15" hidden="false" customHeight="false" outlineLevel="0" collapsed="false">
      <c r="A140" s="15" t="n">
        <v>46120</v>
      </c>
      <c r="B140" s="16" t="n">
        <f aca="false">MONTH(A140)</f>
        <v>4</v>
      </c>
      <c r="C140" s="16" t="s">
        <v>41</v>
      </c>
      <c r="D140" s="16" t="s">
        <v>36</v>
      </c>
      <c r="E140" s="16" t="s">
        <v>51</v>
      </c>
      <c r="F140" s="16" t="n">
        <v>5</v>
      </c>
      <c r="G140" s="17" t="n">
        <v>700</v>
      </c>
      <c r="H140" s="17" t="n">
        <v>480</v>
      </c>
      <c r="I140" s="17" t="n">
        <f aca="false">F140*G140</f>
        <v>3500</v>
      </c>
      <c r="J140" s="17" t="n">
        <f aca="false">F140*(G140-H140)</f>
        <v>1100</v>
      </c>
    </row>
    <row r="141" customFormat="false" ht="15" hidden="false" customHeight="false" outlineLevel="0" collapsed="false">
      <c r="A141" s="15" t="n">
        <v>46243</v>
      </c>
      <c r="B141" s="16" t="n">
        <f aca="false">MONTH(A141)</f>
        <v>8</v>
      </c>
      <c r="C141" s="16" t="s">
        <v>43</v>
      </c>
      <c r="D141" s="16" t="s">
        <v>31</v>
      </c>
      <c r="E141" s="16" t="s">
        <v>50</v>
      </c>
      <c r="F141" s="16" t="n">
        <v>4</v>
      </c>
      <c r="G141" s="17" t="n">
        <v>4200</v>
      </c>
      <c r="H141" s="17" t="n">
        <v>3300</v>
      </c>
      <c r="I141" s="17" t="n">
        <f aca="false">F141*G141</f>
        <v>16800</v>
      </c>
      <c r="J141" s="17" t="n">
        <f aca="false">F141*(G141-H141)</f>
        <v>3600</v>
      </c>
    </row>
    <row r="142" customFormat="false" ht="15" hidden="false" customHeight="false" outlineLevel="0" collapsed="false">
      <c r="A142" s="15" t="n">
        <v>46267</v>
      </c>
      <c r="B142" s="16" t="n">
        <f aca="false">MONTH(A142)</f>
        <v>9</v>
      </c>
      <c r="C142" s="16" t="s">
        <v>42</v>
      </c>
      <c r="D142" s="16" t="s">
        <v>33</v>
      </c>
      <c r="E142" s="16" t="s">
        <v>51</v>
      </c>
      <c r="F142" s="16" t="n">
        <v>1</v>
      </c>
      <c r="G142" s="17" t="n">
        <v>450</v>
      </c>
      <c r="H142" s="17" t="n">
        <v>280</v>
      </c>
      <c r="I142" s="17" t="n">
        <f aca="false">F142*G142</f>
        <v>450</v>
      </c>
      <c r="J142" s="17" t="n">
        <f aca="false">F142*(G142-H142)</f>
        <v>170</v>
      </c>
    </row>
    <row r="143" customFormat="false" ht="15" hidden="false" customHeight="false" outlineLevel="0" collapsed="false">
      <c r="A143" s="15" t="n">
        <v>46257</v>
      </c>
      <c r="B143" s="16" t="n">
        <f aca="false">MONTH(A143)</f>
        <v>8</v>
      </c>
      <c r="C143" s="16" t="s">
        <v>41</v>
      </c>
      <c r="D143" s="16" t="s">
        <v>34</v>
      </c>
      <c r="E143" s="16" t="s">
        <v>51</v>
      </c>
      <c r="F143" s="16" t="n">
        <v>1</v>
      </c>
      <c r="G143" s="17" t="n">
        <v>250</v>
      </c>
      <c r="H143" s="17" t="n">
        <v>140</v>
      </c>
      <c r="I143" s="17" t="n">
        <f aca="false">F143*G143</f>
        <v>250</v>
      </c>
      <c r="J143" s="17" t="n">
        <f aca="false">F143*(G143-H143)</f>
        <v>110</v>
      </c>
    </row>
    <row r="144" customFormat="false" ht="15" hidden="false" customHeight="false" outlineLevel="0" collapsed="false">
      <c r="A144" s="15" t="n">
        <v>46195</v>
      </c>
      <c r="B144" s="16" t="n">
        <f aca="false">MONTH(A144)</f>
        <v>6</v>
      </c>
      <c r="C144" s="16" t="s">
        <v>43</v>
      </c>
      <c r="D144" s="16" t="s">
        <v>36</v>
      </c>
      <c r="E144" s="16" t="s">
        <v>51</v>
      </c>
      <c r="F144" s="16" t="n">
        <v>5</v>
      </c>
      <c r="G144" s="17" t="n">
        <v>700</v>
      </c>
      <c r="H144" s="17" t="n">
        <v>480</v>
      </c>
      <c r="I144" s="17" t="n">
        <f aca="false">F144*G144</f>
        <v>3500</v>
      </c>
      <c r="J144" s="17" t="n">
        <f aca="false">F144*(G144-H144)</f>
        <v>1100</v>
      </c>
    </row>
    <row r="145" customFormat="false" ht="15" hidden="false" customHeight="false" outlineLevel="0" collapsed="false">
      <c r="A145" s="15" t="n">
        <v>46094</v>
      </c>
      <c r="B145" s="16" t="n">
        <f aca="false">MONTH(A145)</f>
        <v>3</v>
      </c>
      <c r="C145" s="16" t="s">
        <v>41</v>
      </c>
      <c r="D145" s="16" t="s">
        <v>35</v>
      </c>
      <c r="E145" s="16" t="s">
        <v>52</v>
      </c>
      <c r="F145" s="16" t="n">
        <v>3</v>
      </c>
      <c r="G145" s="17" t="n">
        <v>900</v>
      </c>
      <c r="H145" s="17" t="n">
        <v>650</v>
      </c>
      <c r="I145" s="17" t="n">
        <f aca="false">F145*G145</f>
        <v>2700</v>
      </c>
      <c r="J145" s="17" t="n">
        <f aca="false">F145*(G145-H145)</f>
        <v>750</v>
      </c>
    </row>
    <row r="146" customFormat="false" ht="15" hidden="false" customHeight="false" outlineLevel="0" collapsed="false">
      <c r="A146" s="15" t="n">
        <v>46095</v>
      </c>
      <c r="B146" s="16" t="n">
        <f aca="false">MONTH(A146)</f>
        <v>3</v>
      </c>
      <c r="C146" s="16" t="s">
        <v>43</v>
      </c>
      <c r="D146" s="16" t="s">
        <v>33</v>
      </c>
      <c r="E146" s="16" t="s">
        <v>51</v>
      </c>
      <c r="F146" s="16" t="n">
        <v>1</v>
      </c>
      <c r="G146" s="17" t="n">
        <v>450</v>
      </c>
      <c r="H146" s="17" t="n">
        <v>280</v>
      </c>
      <c r="I146" s="17" t="n">
        <f aca="false">F146*G146</f>
        <v>450</v>
      </c>
      <c r="J146" s="17" t="n">
        <f aca="false">F146*(G146-H146)</f>
        <v>170</v>
      </c>
    </row>
    <row r="147" customFormat="false" ht="15" hidden="false" customHeight="false" outlineLevel="0" collapsed="false">
      <c r="A147" s="15" t="n">
        <v>46363</v>
      </c>
      <c r="B147" s="16" t="n">
        <f aca="false">MONTH(A147)</f>
        <v>12</v>
      </c>
      <c r="C147" s="16" t="s">
        <v>42</v>
      </c>
      <c r="D147" s="16" t="s">
        <v>30</v>
      </c>
      <c r="E147" s="16" t="s">
        <v>50</v>
      </c>
      <c r="F147" s="16" t="n">
        <v>10</v>
      </c>
      <c r="G147" s="17" t="n">
        <v>18500</v>
      </c>
      <c r="H147" s="17" t="n">
        <v>15000</v>
      </c>
      <c r="I147" s="17" t="n">
        <f aca="false">F147*G147</f>
        <v>185000</v>
      </c>
      <c r="J147" s="17" t="n">
        <f aca="false">F147*(G147-H147)</f>
        <v>35000</v>
      </c>
    </row>
    <row r="148" customFormat="false" ht="15" hidden="false" customHeight="false" outlineLevel="0" collapsed="false">
      <c r="A148" s="15" t="n">
        <v>46257</v>
      </c>
      <c r="B148" s="16" t="n">
        <f aca="false">MONTH(A148)</f>
        <v>8</v>
      </c>
      <c r="C148" s="16" t="s">
        <v>41</v>
      </c>
      <c r="D148" s="16" t="s">
        <v>36</v>
      </c>
      <c r="E148" s="16" t="s">
        <v>51</v>
      </c>
      <c r="F148" s="16" t="n">
        <v>8</v>
      </c>
      <c r="G148" s="17" t="n">
        <v>700</v>
      </c>
      <c r="H148" s="17" t="n">
        <v>480</v>
      </c>
      <c r="I148" s="17" t="n">
        <f aca="false">F148*G148</f>
        <v>5600</v>
      </c>
      <c r="J148" s="17" t="n">
        <f aca="false">F148*(G148-H148)</f>
        <v>1760</v>
      </c>
    </row>
    <row r="149" customFormat="false" ht="15" hidden="false" customHeight="false" outlineLevel="0" collapsed="false">
      <c r="A149" s="15" t="n">
        <v>46306</v>
      </c>
      <c r="B149" s="16" t="n">
        <f aca="false">MONTH(A149)</f>
        <v>10</v>
      </c>
      <c r="C149" s="16" t="s">
        <v>43</v>
      </c>
      <c r="D149" s="16" t="s">
        <v>31</v>
      </c>
      <c r="E149" s="16" t="s">
        <v>50</v>
      </c>
      <c r="F149" s="16" t="n">
        <v>11</v>
      </c>
      <c r="G149" s="17" t="n">
        <v>4200</v>
      </c>
      <c r="H149" s="17" t="n">
        <v>3300</v>
      </c>
      <c r="I149" s="17" t="n">
        <f aca="false">F149*G149</f>
        <v>46200</v>
      </c>
      <c r="J149" s="17" t="n">
        <f aca="false">F149*(G149-H149)</f>
        <v>9900</v>
      </c>
    </row>
    <row r="150" customFormat="false" ht="15" hidden="false" customHeight="false" outlineLevel="0" collapsed="false">
      <c r="A150" s="15" t="n">
        <v>46036</v>
      </c>
      <c r="B150" s="16" t="n">
        <f aca="false">MONTH(A150)</f>
        <v>1</v>
      </c>
      <c r="C150" s="16" t="s">
        <v>42</v>
      </c>
      <c r="D150" s="16" t="s">
        <v>30</v>
      </c>
      <c r="E150" s="16" t="s">
        <v>50</v>
      </c>
      <c r="F150" s="16" t="n">
        <v>3</v>
      </c>
      <c r="G150" s="17" t="n">
        <v>18500</v>
      </c>
      <c r="H150" s="17" t="n">
        <v>15000</v>
      </c>
      <c r="I150" s="17" t="n">
        <f aca="false">F150*G150</f>
        <v>55500</v>
      </c>
      <c r="J150" s="17" t="n">
        <f aca="false">F150*(G150-H150)</f>
        <v>10500</v>
      </c>
    </row>
    <row r="151" customFormat="false" ht="15" hidden="false" customHeight="false" outlineLevel="0" collapsed="false">
      <c r="A151" s="15" t="n">
        <v>46193</v>
      </c>
      <c r="B151" s="16" t="n">
        <f aca="false">MONTH(A151)</f>
        <v>6</v>
      </c>
      <c r="C151" s="16" t="s">
        <v>43</v>
      </c>
      <c r="D151" s="16" t="s">
        <v>33</v>
      </c>
      <c r="E151" s="16" t="s">
        <v>51</v>
      </c>
      <c r="F151" s="16" t="n">
        <v>6</v>
      </c>
      <c r="G151" s="17" t="n">
        <v>450</v>
      </c>
      <c r="H151" s="17" t="n">
        <v>280</v>
      </c>
      <c r="I151" s="17" t="n">
        <f aca="false">F151*G151</f>
        <v>2700</v>
      </c>
      <c r="J151" s="17" t="n">
        <f aca="false">F151*(G151-H151)</f>
        <v>1020</v>
      </c>
    </row>
    <row r="152" customFormat="false" ht="15" hidden="false" customHeight="false" outlineLevel="0" collapsed="false">
      <c r="A152" s="15" t="n">
        <v>46311</v>
      </c>
      <c r="B152" s="16" t="n">
        <f aca="false">MONTH(A152)</f>
        <v>10</v>
      </c>
      <c r="C152" s="16" t="s">
        <v>43</v>
      </c>
      <c r="D152" s="16" t="s">
        <v>33</v>
      </c>
      <c r="E152" s="16" t="s">
        <v>51</v>
      </c>
      <c r="F152" s="16" t="n">
        <v>10</v>
      </c>
      <c r="G152" s="17" t="n">
        <v>450</v>
      </c>
      <c r="H152" s="17" t="n">
        <v>280</v>
      </c>
      <c r="I152" s="17" t="n">
        <f aca="false">F152*G152</f>
        <v>4500</v>
      </c>
      <c r="J152" s="17" t="n">
        <f aca="false">F152*(G152-H152)</f>
        <v>1700</v>
      </c>
    </row>
    <row r="153" customFormat="false" ht="15" hidden="false" customHeight="false" outlineLevel="0" collapsed="false">
      <c r="A153" s="15" t="n">
        <v>46377</v>
      </c>
      <c r="B153" s="16" t="n">
        <f aca="false">MONTH(A153)</f>
        <v>12</v>
      </c>
      <c r="C153" s="16" t="s">
        <v>40</v>
      </c>
      <c r="D153" s="16" t="s">
        <v>35</v>
      </c>
      <c r="E153" s="16" t="s">
        <v>52</v>
      </c>
      <c r="F153" s="16" t="n">
        <v>5</v>
      </c>
      <c r="G153" s="17" t="n">
        <v>900</v>
      </c>
      <c r="H153" s="17" t="n">
        <v>650</v>
      </c>
      <c r="I153" s="17" t="n">
        <f aca="false">F153*G153</f>
        <v>4500</v>
      </c>
      <c r="J153" s="17" t="n">
        <f aca="false">F153*(G153-H153)</f>
        <v>1250</v>
      </c>
    </row>
    <row r="154" customFormat="false" ht="15" hidden="false" customHeight="false" outlineLevel="0" collapsed="false">
      <c r="A154" s="15" t="n">
        <v>46076</v>
      </c>
      <c r="B154" s="16" t="n">
        <f aca="false">MONTH(A154)</f>
        <v>2</v>
      </c>
      <c r="C154" s="16" t="s">
        <v>42</v>
      </c>
      <c r="D154" s="16" t="s">
        <v>36</v>
      </c>
      <c r="E154" s="16" t="s">
        <v>51</v>
      </c>
      <c r="F154" s="16" t="n">
        <v>11</v>
      </c>
      <c r="G154" s="17" t="n">
        <v>700</v>
      </c>
      <c r="H154" s="17" t="n">
        <v>480</v>
      </c>
      <c r="I154" s="17" t="n">
        <f aca="false">F154*G154</f>
        <v>7700</v>
      </c>
      <c r="J154" s="17" t="n">
        <f aca="false">F154*(G154-H154)</f>
        <v>2420</v>
      </c>
    </row>
    <row r="155" customFormat="false" ht="15" hidden="false" customHeight="false" outlineLevel="0" collapsed="false">
      <c r="A155" s="15" t="n">
        <v>46257</v>
      </c>
      <c r="B155" s="16" t="n">
        <f aca="false">MONTH(A155)</f>
        <v>8</v>
      </c>
      <c r="C155" s="16" t="s">
        <v>40</v>
      </c>
      <c r="D155" s="16" t="s">
        <v>32</v>
      </c>
      <c r="E155" s="16" t="s">
        <v>50</v>
      </c>
      <c r="F155" s="16" t="n">
        <v>4</v>
      </c>
      <c r="G155" s="17" t="n">
        <v>3800</v>
      </c>
      <c r="H155" s="17" t="n">
        <v>3000</v>
      </c>
      <c r="I155" s="17" t="n">
        <f aca="false">F155*G155</f>
        <v>15200</v>
      </c>
      <c r="J155" s="17" t="n">
        <f aca="false">F155*(G155-H155)</f>
        <v>3200</v>
      </c>
    </row>
    <row r="156" customFormat="false" ht="15" hidden="false" customHeight="false" outlineLevel="0" collapsed="false">
      <c r="A156" s="15" t="n">
        <v>46193</v>
      </c>
      <c r="B156" s="16" t="n">
        <f aca="false">MONTH(A156)</f>
        <v>6</v>
      </c>
      <c r="C156" s="16" t="s">
        <v>40</v>
      </c>
      <c r="D156" s="16" t="s">
        <v>34</v>
      </c>
      <c r="E156" s="16" t="s">
        <v>51</v>
      </c>
      <c r="F156" s="16" t="n">
        <v>12</v>
      </c>
      <c r="G156" s="17" t="n">
        <v>250</v>
      </c>
      <c r="H156" s="17" t="n">
        <v>140</v>
      </c>
      <c r="I156" s="17" t="n">
        <f aca="false">F156*G156</f>
        <v>3000</v>
      </c>
      <c r="J156" s="17" t="n">
        <f aca="false">F156*(G156-H156)</f>
        <v>1320</v>
      </c>
    </row>
    <row r="157" customFormat="false" ht="15" hidden="false" customHeight="false" outlineLevel="0" collapsed="false">
      <c r="A157" s="15" t="n">
        <v>46150</v>
      </c>
      <c r="B157" s="16" t="n">
        <f aca="false">MONTH(A157)</f>
        <v>5</v>
      </c>
      <c r="C157" s="16" t="s">
        <v>41</v>
      </c>
      <c r="D157" s="16" t="s">
        <v>32</v>
      </c>
      <c r="E157" s="16" t="s">
        <v>50</v>
      </c>
      <c r="F157" s="16" t="n">
        <v>3</v>
      </c>
      <c r="G157" s="17" t="n">
        <v>3800</v>
      </c>
      <c r="H157" s="17" t="n">
        <v>3000</v>
      </c>
      <c r="I157" s="17" t="n">
        <f aca="false">F157*G157</f>
        <v>11400</v>
      </c>
      <c r="J157" s="17" t="n">
        <f aca="false">F157*(G157-H157)</f>
        <v>2400</v>
      </c>
    </row>
    <row r="158" customFormat="false" ht="15" hidden="false" customHeight="false" outlineLevel="0" collapsed="false">
      <c r="A158" s="15" t="n">
        <v>46158</v>
      </c>
      <c r="B158" s="16" t="n">
        <f aca="false">MONTH(A158)</f>
        <v>5</v>
      </c>
      <c r="C158" s="16" t="s">
        <v>40</v>
      </c>
      <c r="D158" s="16" t="s">
        <v>36</v>
      </c>
      <c r="E158" s="16" t="s">
        <v>51</v>
      </c>
      <c r="F158" s="16" t="n">
        <v>11</v>
      </c>
      <c r="G158" s="17" t="n">
        <v>700</v>
      </c>
      <c r="H158" s="17" t="n">
        <v>480</v>
      </c>
      <c r="I158" s="17" t="n">
        <f aca="false">F158*G158</f>
        <v>7700</v>
      </c>
      <c r="J158" s="17" t="n">
        <f aca="false">F158*(G158-H158)</f>
        <v>2420</v>
      </c>
    </row>
    <row r="159" customFormat="false" ht="15" hidden="false" customHeight="false" outlineLevel="0" collapsed="false">
      <c r="A159" s="15" t="n">
        <v>46174</v>
      </c>
      <c r="B159" s="16" t="n">
        <f aca="false">MONTH(A159)</f>
        <v>6</v>
      </c>
      <c r="C159" s="16" t="s">
        <v>41</v>
      </c>
      <c r="D159" s="16" t="s">
        <v>34</v>
      </c>
      <c r="E159" s="16" t="s">
        <v>51</v>
      </c>
      <c r="F159" s="16" t="n">
        <v>9</v>
      </c>
      <c r="G159" s="17" t="n">
        <v>250</v>
      </c>
      <c r="H159" s="17" t="n">
        <v>140</v>
      </c>
      <c r="I159" s="17" t="n">
        <f aca="false">F159*G159</f>
        <v>2250</v>
      </c>
      <c r="J159" s="17" t="n">
        <f aca="false">F159*(G159-H159)</f>
        <v>990</v>
      </c>
    </row>
    <row r="160" customFormat="false" ht="15" hidden="false" customHeight="false" outlineLevel="0" collapsed="false">
      <c r="A160" s="15" t="n">
        <v>46091</v>
      </c>
      <c r="B160" s="16" t="n">
        <f aca="false">MONTH(A160)</f>
        <v>3</v>
      </c>
      <c r="C160" s="16" t="s">
        <v>43</v>
      </c>
      <c r="D160" s="16" t="s">
        <v>31</v>
      </c>
      <c r="E160" s="16" t="s">
        <v>50</v>
      </c>
      <c r="F160" s="16" t="n">
        <v>12</v>
      </c>
      <c r="G160" s="17" t="n">
        <v>4200</v>
      </c>
      <c r="H160" s="17" t="n">
        <v>3300</v>
      </c>
      <c r="I160" s="17" t="n">
        <f aca="false">F160*G160</f>
        <v>50400</v>
      </c>
      <c r="J160" s="17" t="n">
        <f aca="false">F160*(G160-H160)</f>
        <v>10800</v>
      </c>
    </row>
    <row r="161" customFormat="false" ht="15" hidden="false" customHeight="false" outlineLevel="0" collapsed="false">
      <c r="A161" s="15" t="n">
        <v>46134</v>
      </c>
      <c r="B161" s="16" t="n">
        <f aca="false">MONTH(A161)</f>
        <v>4</v>
      </c>
      <c r="C161" s="16" t="s">
        <v>40</v>
      </c>
      <c r="D161" s="16" t="s">
        <v>33</v>
      </c>
      <c r="E161" s="16" t="s">
        <v>51</v>
      </c>
      <c r="F161" s="16" t="n">
        <v>11</v>
      </c>
      <c r="G161" s="17" t="n">
        <v>450</v>
      </c>
      <c r="H161" s="17" t="n">
        <v>280</v>
      </c>
      <c r="I161" s="17" t="n">
        <f aca="false">F161*G161</f>
        <v>4950</v>
      </c>
      <c r="J161" s="17" t="n">
        <f aca="false">F161*(G161-H161)</f>
        <v>1870</v>
      </c>
    </row>
    <row r="162" customFormat="false" ht="15" hidden="false" customHeight="false" outlineLevel="0" collapsed="false">
      <c r="A162" s="15" t="n">
        <v>46355</v>
      </c>
      <c r="B162" s="16" t="n">
        <f aca="false">MONTH(A162)</f>
        <v>11</v>
      </c>
      <c r="C162" s="16" t="s">
        <v>42</v>
      </c>
      <c r="D162" s="16" t="s">
        <v>32</v>
      </c>
      <c r="E162" s="16" t="s">
        <v>50</v>
      </c>
      <c r="F162" s="16" t="n">
        <v>1</v>
      </c>
      <c r="G162" s="17" t="n">
        <v>3800</v>
      </c>
      <c r="H162" s="17" t="n">
        <v>3000</v>
      </c>
      <c r="I162" s="17" t="n">
        <f aca="false">F162*G162</f>
        <v>3800</v>
      </c>
      <c r="J162" s="17" t="n">
        <f aca="false">F162*(G162-H162)</f>
        <v>800</v>
      </c>
    </row>
    <row r="163" customFormat="false" ht="15" hidden="false" customHeight="false" outlineLevel="0" collapsed="false">
      <c r="A163" s="15" t="n">
        <v>46095</v>
      </c>
      <c r="B163" s="16" t="n">
        <f aca="false">MONTH(A163)</f>
        <v>3</v>
      </c>
      <c r="C163" s="16" t="s">
        <v>42</v>
      </c>
      <c r="D163" s="16" t="s">
        <v>31</v>
      </c>
      <c r="E163" s="16" t="s">
        <v>50</v>
      </c>
      <c r="F163" s="16" t="n">
        <v>1</v>
      </c>
      <c r="G163" s="17" t="n">
        <v>4200</v>
      </c>
      <c r="H163" s="17" t="n">
        <v>3300</v>
      </c>
      <c r="I163" s="17" t="n">
        <f aca="false">F163*G163</f>
        <v>4200</v>
      </c>
      <c r="J163" s="17" t="n">
        <f aca="false">F163*(G163-H163)</f>
        <v>900</v>
      </c>
    </row>
    <row r="164" customFormat="false" ht="15" hidden="false" customHeight="false" outlineLevel="0" collapsed="false">
      <c r="A164" s="15" t="n">
        <v>46379</v>
      </c>
      <c r="B164" s="16" t="n">
        <f aca="false">MONTH(A164)</f>
        <v>12</v>
      </c>
      <c r="C164" s="16" t="s">
        <v>43</v>
      </c>
      <c r="D164" s="16" t="s">
        <v>32</v>
      </c>
      <c r="E164" s="16" t="s">
        <v>50</v>
      </c>
      <c r="F164" s="16" t="n">
        <v>1</v>
      </c>
      <c r="G164" s="17" t="n">
        <v>3800</v>
      </c>
      <c r="H164" s="17" t="n">
        <v>3000</v>
      </c>
      <c r="I164" s="17" t="n">
        <f aca="false">F164*G164</f>
        <v>3800</v>
      </c>
      <c r="J164" s="17" t="n">
        <f aca="false">F164*(G164-H164)</f>
        <v>800</v>
      </c>
    </row>
    <row r="165" customFormat="false" ht="15" hidden="false" customHeight="false" outlineLevel="0" collapsed="false">
      <c r="A165" s="15" t="n">
        <v>46331</v>
      </c>
      <c r="B165" s="16" t="n">
        <f aca="false">MONTH(A165)</f>
        <v>11</v>
      </c>
      <c r="C165" s="16" t="s">
        <v>40</v>
      </c>
      <c r="D165" s="16" t="s">
        <v>30</v>
      </c>
      <c r="E165" s="16" t="s">
        <v>50</v>
      </c>
      <c r="F165" s="16" t="n">
        <v>12</v>
      </c>
      <c r="G165" s="17" t="n">
        <v>18500</v>
      </c>
      <c r="H165" s="17" t="n">
        <v>15000</v>
      </c>
      <c r="I165" s="17" t="n">
        <f aca="false">F165*G165</f>
        <v>222000</v>
      </c>
      <c r="J165" s="17" t="n">
        <f aca="false">F165*(G165-H165)</f>
        <v>42000</v>
      </c>
    </row>
    <row r="166" customFormat="false" ht="15" hidden="false" customHeight="false" outlineLevel="0" collapsed="false">
      <c r="A166" s="15" t="n">
        <v>46327</v>
      </c>
      <c r="B166" s="16" t="n">
        <f aca="false">MONTH(A166)</f>
        <v>11</v>
      </c>
      <c r="C166" s="16" t="s">
        <v>43</v>
      </c>
      <c r="D166" s="16" t="s">
        <v>31</v>
      </c>
      <c r="E166" s="16" t="s">
        <v>50</v>
      </c>
      <c r="F166" s="16" t="n">
        <v>8</v>
      </c>
      <c r="G166" s="17" t="n">
        <v>4200</v>
      </c>
      <c r="H166" s="17" t="n">
        <v>3300</v>
      </c>
      <c r="I166" s="17" t="n">
        <f aca="false">F166*G166</f>
        <v>33600</v>
      </c>
      <c r="J166" s="17" t="n">
        <f aca="false">F166*(G166-H166)</f>
        <v>7200</v>
      </c>
    </row>
    <row r="167" customFormat="false" ht="15" hidden="false" customHeight="false" outlineLevel="0" collapsed="false">
      <c r="A167" s="15" t="n">
        <v>46298</v>
      </c>
      <c r="B167" s="16" t="n">
        <f aca="false">MONTH(A167)</f>
        <v>10</v>
      </c>
      <c r="C167" s="16" t="s">
        <v>42</v>
      </c>
      <c r="D167" s="16" t="s">
        <v>34</v>
      </c>
      <c r="E167" s="16" t="s">
        <v>51</v>
      </c>
      <c r="F167" s="16" t="n">
        <v>7</v>
      </c>
      <c r="G167" s="17" t="n">
        <v>250</v>
      </c>
      <c r="H167" s="17" t="n">
        <v>140</v>
      </c>
      <c r="I167" s="17" t="n">
        <f aca="false">F167*G167</f>
        <v>1750</v>
      </c>
      <c r="J167" s="17" t="n">
        <f aca="false">F167*(G167-H167)</f>
        <v>770</v>
      </c>
    </row>
    <row r="168" customFormat="false" ht="15" hidden="false" customHeight="false" outlineLevel="0" collapsed="false">
      <c r="A168" s="15" t="n">
        <v>46033</v>
      </c>
      <c r="B168" s="16" t="n">
        <f aca="false">MONTH(A168)</f>
        <v>1</v>
      </c>
      <c r="C168" s="16" t="s">
        <v>42</v>
      </c>
      <c r="D168" s="16" t="s">
        <v>35</v>
      </c>
      <c r="E168" s="16" t="s">
        <v>52</v>
      </c>
      <c r="F168" s="16" t="n">
        <v>3</v>
      </c>
      <c r="G168" s="17" t="n">
        <v>900</v>
      </c>
      <c r="H168" s="17" t="n">
        <v>650</v>
      </c>
      <c r="I168" s="17" t="n">
        <f aca="false">F168*G168</f>
        <v>2700</v>
      </c>
      <c r="J168" s="17" t="n">
        <f aca="false">F168*(G168-H168)</f>
        <v>750</v>
      </c>
    </row>
    <row r="169" customFormat="false" ht="15" hidden="false" customHeight="false" outlineLevel="0" collapsed="false">
      <c r="A169" s="15" t="n">
        <v>46228</v>
      </c>
      <c r="B169" s="16" t="n">
        <f aca="false">MONTH(A169)</f>
        <v>7</v>
      </c>
      <c r="C169" s="16" t="s">
        <v>43</v>
      </c>
      <c r="D169" s="16" t="s">
        <v>32</v>
      </c>
      <c r="E169" s="16" t="s">
        <v>50</v>
      </c>
      <c r="F169" s="16" t="n">
        <v>11</v>
      </c>
      <c r="G169" s="17" t="n">
        <v>3800</v>
      </c>
      <c r="H169" s="17" t="n">
        <v>3000</v>
      </c>
      <c r="I169" s="17" t="n">
        <f aca="false">F169*G169</f>
        <v>41800</v>
      </c>
      <c r="J169" s="17" t="n">
        <f aca="false">F169*(G169-H169)</f>
        <v>8800</v>
      </c>
    </row>
    <row r="170" customFormat="false" ht="15" hidden="false" customHeight="false" outlineLevel="0" collapsed="false">
      <c r="A170" s="15" t="n">
        <v>46256</v>
      </c>
      <c r="B170" s="16" t="n">
        <f aca="false">MONTH(A170)</f>
        <v>8</v>
      </c>
      <c r="C170" s="16" t="s">
        <v>41</v>
      </c>
      <c r="D170" s="16" t="s">
        <v>35</v>
      </c>
      <c r="E170" s="16" t="s">
        <v>52</v>
      </c>
      <c r="F170" s="16" t="n">
        <v>8</v>
      </c>
      <c r="G170" s="17" t="n">
        <v>900</v>
      </c>
      <c r="H170" s="17" t="n">
        <v>650</v>
      </c>
      <c r="I170" s="17" t="n">
        <f aca="false">F170*G170</f>
        <v>7200</v>
      </c>
      <c r="J170" s="17" t="n">
        <f aca="false">F170*(G170-H170)</f>
        <v>2000</v>
      </c>
    </row>
    <row r="171" customFormat="false" ht="15" hidden="false" customHeight="false" outlineLevel="0" collapsed="false">
      <c r="A171" s="15" t="n">
        <v>46142</v>
      </c>
      <c r="B171" s="16" t="n">
        <f aca="false">MONTH(A171)</f>
        <v>4</v>
      </c>
      <c r="C171" s="16" t="s">
        <v>40</v>
      </c>
      <c r="D171" s="16" t="s">
        <v>36</v>
      </c>
      <c r="E171" s="16" t="s">
        <v>51</v>
      </c>
      <c r="F171" s="16" t="n">
        <v>11</v>
      </c>
      <c r="G171" s="17" t="n">
        <v>700</v>
      </c>
      <c r="H171" s="17" t="n">
        <v>480</v>
      </c>
      <c r="I171" s="17" t="n">
        <f aca="false">F171*G171</f>
        <v>7700</v>
      </c>
      <c r="J171" s="17" t="n">
        <f aca="false">F171*(G171-H171)</f>
        <v>2420</v>
      </c>
    </row>
    <row r="172" customFormat="false" ht="15" hidden="false" customHeight="false" outlineLevel="0" collapsed="false">
      <c r="A172" s="15" t="n">
        <v>46136</v>
      </c>
      <c r="B172" s="16" t="n">
        <f aca="false">MONTH(A172)</f>
        <v>4</v>
      </c>
      <c r="C172" s="16" t="s">
        <v>40</v>
      </c>
      <c r="D172" s="16" t="s">
        <v>33</v>
      </c>
      <c r="E172" s="16" t="s">
        <v>51</v>
      </c>
      <c r="F172" s="16" t="n">
        <v>6</v>
      </c>
      <c r="G172" s="17" t="n">
        <v>450</v>
      </c>
      <c r="H172" s="17" t="n">
        <v>280</v>
      </c>
      <c r="I172" s="17" t="n">
        <f aca="false">F172*G172</f>
        <v>2700</v>
      </c>
      <c r="J172" s="17" t="n">
        <f aca="false">F172*(G172-H172)</f>
        <v>1020</v>
      </c>
    </row>
    <row r="173" customFormat="false" ht="15" hidden="false" customHeight="false" outlineLevel="0" collapsed="false">
      <c r="A173" s="15" t="n">
        <v>46102</v>
      </c>
      <c r="B173" s="16" t="n">
        <f aca="false">MONTH(A173)</f>
        <v>3</v>
      </c>
      <c r="C173" s="16" t="s">
        <v>41</v>
      </c>
      <c r="D173" s="16" t="s">
        <v>33</v>
      </c>
      <c r="E173" s="16" t="s">
        <v>51</v>
      </c>
      <c r="F173" s="16" t="n">
        <v>1</v>
      </c>
      <c r="G173" s="17" t="n">
        <v>450</v>
      </c>
      <c r="H173" s="17" t="n">
        <v>280</v>
      </c>
      <c r="I173" s="17" t="n">
        <f aca="false">F173*G173</f>
        <v>450</v>
      </c>
      <c r="J173" s="17" t="n">
        <f aca="false">F173*(G173-H173)</f>
        <v>170</v>
      </c>
    </row>
    <row r="174" customFormat="false" ht="15" hidden="false" customHeight="false" outlineLevel="0" collapsed="false">
      <c r="A174" s="15" t="n">
        <v>46161</v>
      </c>
      <c r="B174" s="16" t="n">
        <f aca="false">MONTH(A174)</f>
        <v>5</v>
      </c>
      <c r="C174" s="16" t="s">
        <v>42</v>
      </c>
      <c r="D174" s="16" t="s">
        <v>36</v>
      </c>
      <c r="E174" s="16" t="s">
        <v>51</v>
      </c>
      <c r="F174" s="16" t="n">
        <v>12</v>
      </c>
      <c r="G174" s="17" t="n">
        <v>700</v>
      </c>
      <c r="H174" s="17" t="n">
        <v>480</v>
      </c>
      <c r="I174" s="17" t="n">
        <f aca="false">F174*G174</f>
        <v>8400</v>
      </c>
      <c r="J174" s="17" t="n">
        <f aca="false">F174*(G174-H174)</f>
        <v>2640</v>
      </c>
    </row>
    <row r="175" customFormat="false" ht="15" hidden="false" customHeight="false" outlineLevel="0" collapsed="false">
      <c r="A175" s="15" t="n">
        <v>46176</v>
      </c>
      <c r="B175" s="16" t="n">
        <f aca="false">MONTH(A175)</f>
        <v>6</v>
      </c>
      <c r="C175" s="16" t="s">
        <v>41</v>
      </c>
      <c r="D175" s="16" t="s">
        <v>32</v>
      </c>
      <c r="E175" s="16" t="s">
        <v>50</v>
      </c>
      <c r="F175" s="16" t="n">
        <v>1</v>
      </c>
      <c r="G175" s="17" t="n">
        <v>3800</v>
      </c>
      <c r="H175" s="17" t="n">
        <v>3000</v>
      </c>
      <c r="I175" s="17" t="n">
        <f aca="false">F175*G175</f>
        <v>3800</v>
      </c>
      <c r="J175" s="17" t="n">
        <f aca="false">F175*(G175-H175)</f>
        <v>800</v>
      </c>
    </row>
    <row r="176" customFormat="false" ht="15" hidden="false" customHeight="false" outlineLevel="0" collapsed="false">
      <c r="A176" s="15" t="n">
        <v>46118</v>
      </c>
      <c r="B176" s="16" t="n">
        <f aca="false">MONTH(A176)</f>
        <v>4</v>
      </c>
      <c r="C176" s="16" t="s">
        <v>41</v>
      </c>
      <c r="D176" s="16" t="s">
        <v>33</v>
      </c>
      <c r="E176" s="16" t="s">
        <v>51</v>
      </c>
      <c r="F176" s="16" t="n">
        <v>3</v>
      </c>
      <c r="G176" s="17" t="n">
        <v>450</v>
      </c>
      <c r="H176" s="17" t="n">
        <v>280</v>
      </c>
      <c r="I176" s="17" t="n">
        <f aca="false">F176*G176</f>
        <v>1350</v>
      </c>
      <c r="J176" s="17" t="n">
        <f aca="false">F176*(G176-H176)</f>
        <v>510</v>
      </c>
    </row>
    <row r="177" customFormat="false" ht="15" hidden="false" customHeight="false" outlineLevel="0" collapsed="false">
      <c r="A177" s="15" t="n">
        <v>46342</v>
      </c>
      <c r="B177" s="16" t="n">
        <f aca="false">MONTH(A177)</f>
        <v>11</v>
      </c>
      <c r="C177" s="16" t="s">
        <v>41</v>
      </c>
      <c r="D177" s="16" t="s">
        <v>30</v>
      </c>
      <c r="E177" s="16" t="s">
        <v>50</v>
      </c>
      <c r="F177" s="16" t="n">
        <v>3</v>
      </c>
      <c r="G177" s="17" t="n">
        <v>18500</v>
      </c>
      <c r="H177" s="17" t="n">
        <v>15000</v>
      </c>
      <c r="I177" s="17" t="n">
        <f aca="false">F177*G177</f>
        <v>55500</v>
      </c>
      <c r="J177" s="17" t="n">
        <f aca="false">F177*(G177-H177)</f>
        <v>10500</v>
      </c>
    </row>
    <row r="178" customFormat="false" ht="15" hidden="false" customHeight="false" outlineLevel="0" collapsed="false">
      <c r="A178" s="15" t="n">
        <v>46305</v>
      </c>
      <c r="B178" s="16" t="n">
        <f aca="false">MONTH(A178)</f>
        <v>10</v>
      </c>
      <c r="C178" s="16" t="s">
        <v>40</v>
      </c>
      <c r="D178" s="16" t="s">
        <v>31</v>
      </c>
      <c r="E178" s="16" t="s">
        <v>50</v>
      </c>
      <c r="F178" s="16" t="n">
        <v>3</v>
      </c>
      <c r="G178" s="17" t="n">
        <v>4200</v>
      </c>
      <c r="H178" s="17" t="n">
        <v>3300</v>
      </c>
      <c r="I178" s="17" t="n">
        <f aca="false">F178*G178</f>
        <v>12600</v>
      </c>
      <c r="J178" s="17" t="n">
        <f aca="false">F178*(G178-H178)</f>
        <v>2700</v>
      </c>
    </row>
    <row r="179" customFormat="false" ht="15" hidden="false" customHeight="false" outlineLevel="0" collapsed="false">
      <c r="A179" s="15" t="n">
        <v>46352</v>
      </c>
      <c r="B179" s="16" t="n">
        <f aca="false">MONTH(A179)</f>
        <v>11</v>
      </c>
      <c r="C179" s="16" t="s">
        <v>40</v>
      </c>
      <c r="D179" s="16" t="s">
        <v>34</v>
      </c>
      <c r="E179" s="16" t="s">
        <v>51</v>
      </c>
      <c r="F179" s="16" t="n">
        <v>11</v>
      </c>
      <c r="G179" s="17" t="n">
        <v>250</v>
      </c>
      <c r="H179" s="17" t="n">
        <v>140</v>
      </c>
      <c r="I179" s="17" t="n">
        <f aca="false">F179*G179</f>
        <v>2750</v>
      </c>
      <c r="J179" s="17" t="n">
        <f aca="false">F179*(G179-H179)</f>
        <v>1210</v>
      </c>
    </row>
    <row r="180" customFormat="false" ht="15" hidden="false" customHeight="false" outlineLevel="0" collapsed="false">
      <c r="A180" s="15" t="n">
        <v>46085</v>
      </c>
      <c r="B180" s="16" t="n">
        <f aca="false">MONTH(A180)</f>
        <v>3</v>
      </c>
      <c r="C180" s="16" t="s">
        <v>40</v>
      </c>
      <c r="D180" s="16" t="s">
        <v>33</v>
      </c>
      <c r="E180" s="16" t="s">
        <v>51</v>
      </c>
      <c r="F180" s="16" t="n">
        <v>4</v>
      </c>
      <c r="G180" s="17" t="n">
        <v>450</v>
      </c>
      <c r="H180" s="17" t="n">
        <v>280</v>
      </c>
      <c r="I180" s="17" t="n">
        <f aca="false">F180*G180</f>
        <v>1800</v>
      </c>
      <c r="J180" s="17" t="n">
        <f aca="false">F180*(G180-H180)</f>
        <v>680</v>
      </c>
    </row>
    <row r="181" customFormat="false" ht="15" hidden="false" customHeight="false" outlineLevel="0" collapsed="false">
      <c r="A181" s="15" t="n">
        <v>46381</v>
      </c>
      <c r="B181" s="16" t="n">
        <f aca="false">MONTH(A181)</f>
        <v>12</v>
      </c>
      <c r="C181" s="16" t="s">
        <v>41</v>
      </c>
      <c r="D181" s="16" t="s">
        <v>35</v>
      </c>
      <c r="E181" s="16" t="s">
        <v>52</v>
      </c>
      <c r="F181" s="16" t="n">
        <v>9</v>
      </c>
      <c r="G181" s="17" t="n">
        <v>900</v>
      </c>
      <c r="H181" s="17" t="n">
        <v>650</v>
      </c>
      <c r="I181" s="17" t="n">
        <f aca="false">F181*G181</f>
        <v>8100</v>
      </c>
      <c r="J181" s="17" t="n">
        <f aca="false">F181*(G181-H181)</f>
        <v>2250</v>
      </c>
    </row>
    <row r="182" customFormat="false" ht="15" hidden="false" customHeight="false" outlineLevel="0" collapsed="false">
      <c r="A182" s="15" t="n">
        <v>46066</v>
      </c>
      <c r="B182" s="16" t="n">
        <f aca="false">MONTH(A182)</f>
        <v>2</v>
      </c>
      <c r="C182" s="16" t="s">
        <v>41</v>
      </c>
      <c r="D182" s="16" t="s">
        <v>30</v>
      </c>
      <c r="E182" s="16" t="s">
        <v>50</v>
      </c>
      <c r="F182" s="16" t="n">
        <v>4</v>
      </c>
      <c r="G182" s="17" t="n">
        <v>18500</v>
      </c>
      <c r="H182" s="17" t="n">
        <v>15000</v>
      </c>
      <c r="I182" s="17" t="n">
        <f aca="false">F182*G182</f>
        <v>74000</v>
      </c>
      <c r="J182" s="17" t="n">
        <f aca="false">F182*(G182-H182)</f>
        <v>14000</v>
      </c>
    </row>
    <row r="183" customFormat="false" ht="15" hidden="false" customHeight="false" outlineLevel="0" collapsed="false">
      <c r="A183" s="15" t="n">
        <v>46313</v>
      </c>
      <c r="B183" s="16" t="n">
        <f aca="false">MONTH(A183)</f>
        <v>10</v>
      </c>
      <c r="C183" s="16" t="s">
        <v>40</v>
      </c>
      <c r="D183" s="16" t="s">
        <v>34</v>
      </c>
      <c r="E183" s="16" t="s">
        <v>51</v>
      </c>
      <c r="F183" s="16" t="n">
        <v>4</v>
      </c>
      <c r="G183" s="17" t="n">
        <v>250</v>
      </c>
      <c r="H183" s="17" t="n">
        <v>140</v>
      </c>
      <c r="I183" s="17" t="n">
        <f aca="false">F183*G183</f>
        <v>1000</v>
      </c>
      <c r="J183" s="17" t="n">
        <f aca="false">F183*(G183-H183)</f>
        <v>440</v>
      </c>
    </row>
    <row r="184" customFormat="false" ht="15" hidden="false" customHeight="false" outlineLevel="0" collapsed="false">
      <c r="A184" s="15" t="n">
        <v>46244</v>
      </c>
      <c r="B184" s="16" t="n">
        <f aca="false">MONTH(A184)</f>
        <v>8</v>
      </c>
      <c r="C184" s="16" t="s">
        <v>40</v>
      </c>
      <c r="D184" s="16" t="s">
        <v>31</v>
      </c>
      <c r="E184" s="16" t="s">
        <v>50</v>
      </c>
      <c r="F184" s="16" t="n">
        <v>7</v>
      </c>
      <c r="G184" s="17" t="n">
        <v>4200</v>
      </c>
      <c r="H184" s="17" t="n">
        <v>3300</v>
      </c>
      <c r="I184" s="17" t="n">
        <f aca="false">F184*G184</f>
        <v>29400</v>
      </c>
      <c r="J184" s="17" t="n">
        <f aca="false">F184*(G184-H184)</f>
        <v>6300</v>
      </c>
    </row>
    <row r="185" customFormat="false" ht="15" hidden="false" customHeight="false" outlineLevel="0" collapsed="false">
      <c r="A185" s="15" t="n">
        <v>46185</v>
      </c>
      <c r="B185" s="16" t="n">
        <f aca="false">MONTH(A185)</f>
        <v>6</v>
      </c>
      <c r="C185" s="16" t="s">
        <v>42</v>
      </c>
      <c r="D185" s="16" t="s">
        <v>32</v>
      </c>
      <c r="E185" s="16" t="s">
        <v>50</v>
      </c>
      <c r="F185" s="16" t="n">
        <v>7</v>
      </c>
      <c r="G185" s="17" t="n">
        <v>3800</v>
      </c>
      <c r="H185" s="17" t="n">
        <v>3000</v>
      </c>
      <c r="I185" s="17" t="n">
        <f aca="false">F185*G185</f>
        <v>26600</v>
      </c>
      <c r="J185" s="17" t="n">
        <f aca="false">F185*(G185-H185)</f>
        <v>5600</v>
      </c>
    </row>
    <row r="186" customFormat="false" ht="15" hidden="false" customHeight="false" outlineLevel="0" collapsed="false">
      <c r="A186" s="15" t="n">
        <v>46318</v>
      </c>
      <c r="B186" s="16" t="n">
        <f aca="false">MONTH(A186)</f>
        <v>10</v>
      </c>
      <c r="C186" s="16" t="s">
        <v>43</v>
      </c>
      <c r="D186" s="16" t="s">
        <v>30</v>
      </c>
      <c r="E186" s="16" t="s">
        <v>50</v>
      </c>
      <c r="F186" s="16" t="n">
        <v>1</v>
      </c>
      <c r="G186" s="17" t="n">
        <v>18500</v>
      </c>
      <c r="H186" s="17" t="n">
        <v>15000</v>
      </c>
      <c r="I186" s="17" t="n">
        <f aca="false">F186*G186</f>
        <v>18500</v>
      </c>
      <c r="J186" s="17" t="n">
        <f aca="false">F186*(G186-H186)</f>
        <v>3500</v>
      </c>
    </row>
    <row r="187" customFormat="false" ht="15" hidden="false" customHeight="false" outlineLevel="0" collapsed="false">
      <c r="A187" s="15" t="n">
        <v>46319</v>
      </c>
      <c r="B187" s="16" t="n">
        <f aca="false">MONTH(A187)</f>
        <v>10</v>
      </c>
      <c r="C187" s="16" t="s">
        <v>43</v>
      </c>
      <c r="D187" s="16" t="s">
        <v>33</v>
      </c>
      <c r="E187" s="16" t="s">
        <v>51</v>
      </c>
      <c r="F187" s="16" t="n">
        <v>3</v>
      </c>
      <c r="G187" s="17" t="n">
        <v>450</v>
      </c>
      <c r="H187" s="17" t="n">
        <v>280</v>
      </c>
      <c r="I187" s="17" t="n">
        <f aca="false">F187*G187</f>
        <v>1350</v>
      </c>
      <c r="J187" s="17" t="n">
        <f aca="false">F187*(G187-H187)</f>
        <v>510</v>
      </c>
    </row>
    <row r="188" customFormat="false" ht="15" hidden="false" customHeight="false" outlineLevel="0" collapsed="false">
      <c r="A188" s="15" t="n">
        <v>46350</v>
      </c>
      <c r="B188" s="16" t="n">
        <f aca="false">MONTH(A188)</f>
        <v>11</v>
      </c>
      <c r="C188" s="16" t="s">
        <v>40</v>
      </c>
      <c r="D188" s="16" t="s">
        <v>30</v>
      </c>
      <c r="E188" s="16" t="s">
        <v>50</v>
      </c>
      <c r="F188" s="16" t="n">
        <v>5</v>
      </c>
      <c r="G188" s="17" t="n">
        <v>18500</v>
      </c>
      <c r="H188" s="17" t="n">
        <v>15000</v>
      </c>
      <c r="I188" s="17" t="n">
        <f aca="false">F188*G188</f>
        <v>92500</v>
      </c>
      <c r="J188" s="17" t="n">
        <f aca="false">F188*(G188-H188)</f>
        <v>17500</v>
      </c>
    </row>
    <row r="189" customFormat="false" ht="15" hidden="false" customHeight="false" outlineLevel="0" collapsed="false">
      <c r="A189" s="15" t="n">
        <v>46264</v>
      </c>
      <c r="B189" s="16" t="n">
        <f aca="false">MONTH(A189)</f>
        <v>8</v>
      </c>
      <c r="C189" s="16" t="s">
        <v>42</v>
      </c>
      <c r="D189" s="16" t="s">
        <v>36</v>
      </c>
      <c r="E189" s="16" t="s">
        <v>51</v>
      </c>
      <c r="F189" s="16" t="n">
        <v>9</v>
      </c>
      <c r="G189" s="17" t="n">
        <v>700</v>
      </c>
      <c r="H189" s="17" t="n">
        <v>480</v>
      </c>
      <c r="I189" s="17" t="n">
        <f aca="false">F189*G189</f>
        <v>6300</v>
      </c>
      <c r="J189" s="17" t="n">
        <f aca="false">F189*(G189-H189)</f>
        <v>1980</v>
      </c>
    </row>
    <row r="190" customFormat="false" ht="15" hidden="false" customHeight="false" outlineLevel="0" collapsed="false">
      <c r="A190" s="15" t="n">
        <v>46106</v>
      </c>
      <c r="B190" s="16" t="n">
        <f aca="false">MONTH(A190)</f>
        <v>3</v>
      </c>
      <c r="C190" s="16" t="s">
        <v>42</v>
      </c>
      <c r="D190" s="16" t="s">
        <v>36</v>
      </c>
      <c r="E190" s="16" t="s">
        <v>51</v>
      </c>
      <c r="F190" s="16" t="n">
        <v>6</v>
      </c>
      <c r="G190" s="17" t="n">
        <v>700</v>
      </c>
      <c r="H190" s="17" t="n">
        <v>480</v>
      </c>
      <c r="I190" s="17" t="n">
        <f aca="false">F190*G190</f>
        <v>4200</v>
      </c>
      <c r="J190" s="17" t="n">
        <f aca="false">F190*(G190-H190)</f>
        <v>1320</v>
      </c>
    </row>
    <row r="191" customFormat="false" ht="15" hidden="false" customHeight="false" outlineLevel="0" collapsed="false">
      <c r="A191" s="15" t="n">
        <v>46362</v>
      </c>
      <c r="B191" s="16" t="n">
        <f aca="false">MONTH(A191)</f>
        <v>12</v>
      </c>
      <c r="C191" s="16" t="s">
        <v>43</v>
      </c>
      <c r="D191" s="16" t="s">
        <v>32</v>
      </c>
      <c r="E191" s="16" t="s">
        <v>50</v>
      </c>
      <c r="F191" s="16" t="n">
        <v>11</v>
      </c>
      <c r="G191" s="17" t="n">
        <v>3800</v>
      </c>
      <c r="H191" s="17" t="n">
        <v>3000</v>
      </c>
      <c r="I191" s="17" t="n">
        <f aca="false">F191*G191</f>
        <v>41800</v>
      </c>
      <c r="J191" s="17" t="n">
        <f aca="false">F191*(G191-H191)</f>
        <v>8800</v>
      </c>
    </row>
    <row r="192" customFormat="false" ht="15" hidden="false" customHeight="false" outlineLevel="0" collapsed="false">
      <c r="A192" s="15" t="n">
        <v>46222</v>
      </c>
      <c r="B192" s="16" t="n">
        <f aca="false">MONTH(A192)</f>
        <v>7</v>
      </c>
      <c r="C192" s="16" t="s">
        <v>42</v>
      </c>
      <c r="D192" s="16" t="s">
        <v>32</v>
      </c>
      <c r="E192" s="16" t="s">
        <v>50</v>
      </c>
      <c r="F192" s="16" t="n">
        <v>1</v>
      </c>
      <c r="G192" s="17" t="n">
        <v>3800</v>
      </c>
      <c r="H192" s="17" t="n">
        <v>3000</v>
      </c>
      <c r="I192" s="17" t="n">
        <f aca="false">F192*G192</f>
        <v>3800</v>
      </c>
      <c r="J192" s="17" t="n">
        <f aca="false">F192*(G192-H192)</f>
        <v>800</v>
      </c>
    </row>
    <row r="193" customFormat="false" ht="15" hidden="false" customHeight="false" outlineLevel="0" collapsed="false">
      <c r="A193" s="15" t="n">
        <v>46170</v>
      </c>
      <c r="B193" s="16" t="n">
        <f aca="false">MONTH(A193)</f>
        <v>5</v>
      </c>
      <c r="C193" s="16" t="s">
        <v>40</v>
      </c>
      <c r="D193" s="16" t="s">
        <v>30</v>
      </c>
      <c r="E193" s="16" t="s">
        <v>50</v>
      </c>
      <c r="F193" s="16" t="n">
        <v>8</v>
      </c>
      <c r="G193" s="17" t="n">
        <v>18500</v>
      </c>
      <c r="H193" s="17" t="n">
        <v>15000</v>
      </c>
      <c r="I193" s="17" t="n">
        <f aca="false">F193*G193</f>
        <v>148000</v>
      </c>
      <c r="J193" s="17" t="n">
        <f aca="false">F193*(G193-H193)</f>
        <v>28000</v>
      </c>
    </row>
    <row r="194" customFormat="false" ht="15" hidden="false" customHeight="false" outlineLevel="0" collapsed="false">
      <c r="A194" s="15" t="n">
        <v>46093</v>
      </c>
      <c r="B194" s="16" t="n">
        <f aca="false">MONTH(A194)</f>
        <v>3</v>
      </c>
      <c r="C194" s="16" t="s">
        <v>41</v>
      </c>
      <c r="D194" s="16" t="s">
        <v>32</v>
      </c>
      <c r="E194" s="16" t="s">
        <v>50</v>
      </c>
      <c r="F194" s="16" t="n">
        <v>5</v>
      </c>
      <c r="G194" s="17" t="n">
        <v>3800</v>
      </c>
      <c r="H194" s="17" t="n">
        <v>3000</v>
      </c>
      <c r="I194" s="17" t="n">
        <f aca="false">F194*G194</f>
        <v>19000</v>
      </c>
      <c r="J194" s="17" t="n">
        <f aca="false">F194*(G194-H194)</f>
        <v>4000</v>
      </c>
    </row>
    <row r="195" customFormat="false" ht="15" hidden="false" customHeight="false" outlineLevel="0" collapsed="false">
      <c r="A195" s="15" t="n">
        <v>46222</v>
      </c>
      <c r="B195" s="16" t="n">
        <f aca="false">MONTH(A195)</f>
        <v>7</v>
      </c>
      <c r="C195" s="16" t="s">
        <v>40</v>
      </c>
      <c r="D195" s="16" t="s">
        <v>32</v>
      </c>
      <c r="E195" s="16" t="s">
        <v>50</v>
      </c>
      <c r="F195" s="16" t="n">
        <v>5</v>
      </c>
      <c r="G195" s="17" t="n">
        <v>3800</v>
      </c>
      <c r="H195" s="17" t="n">
        <v>3000</v>
      </c>
      <c r="I195" s="17" t="n">
        <f aca="false">F195*G195</f>
        <v>19000</v>
      </c>
      <c r="J195" s="17" t="n">
        <f aca="false">F195*(G195-H195)</f>
        <v>4000</v>
      </c>
    </row>
    <row r="196" customFormat="false" ht="15" hidden="false" customHeight="false" outlineLevel="0" collapsed="false">
      <c r="A196" s="15" t="n">
        <v>46369</v>
      </c>
      <c r="B196" s="16" t="n">
        <f aca="false">MONTH(A196)</f>
        <v>12</v>
      </c>
      <c r="C196" s="16" t="s">
        <v>43</v>
      </c>
      <c r="D196" s="16" t="s">
        <v>35</v>
      </c>
      <c r="E196" s="16" t="s">
        <v>52</v>
      </c>
      <c r="F196" s="16" t="n">
        <v>4</v>
      </c>
      <c r="G196" s="17" t="n">
        <v>900</v>
      </c>
      <c r="H196" s="17" t="n">
        <v>650</v>
      </c>
      <c r="I196" s="17" t="n">
        <f aca="false">F196*G196</f>
        <v>3600</v>
      </c>
      <c r="J196" s="17" t="n">
        <f aca="false">F196*(G196-H196)</f>
        <v>1000</v>
      </c>
    </row>
    <row r="197" customFormat="false" ht="15" hidden="false" customHeight="false" outlineLevel="0" collapsed="false">
      <c r="A197" s="15" t="n">
        <v>46214</v>
      </c>
      <c r="B197" s="16" t="n">
        <f aca="false">MONTH(A197)</f>
        <v>7</v>
      </c>
      <c r="C197" s="16" t="s">
        <v>43</v>
      </c>
      <c r="D197" s="16" t="s">
        <v>30</v>
      </c>
      <c r="E197" s="16" t="s">
        <v>50</v>
      </c>
      <c r="F197" s="16" t="n">
        <v>9</v>
      </c>
      <c r="G197" s="17" t="n">
        <v>18500</v>
      </c>
      <c r="H197" s="17" t="n">
        <v>15000</v>
      </c>
      <c r="I197" s="17" t="n">
        <f aca="false">F197*G197</f>
        <v>166500</v>
      </c>
      <c r="J197" s="17" t="n">
        <f aca="false">F197*(G197-H197)</f>
        <v>31500</v>
      </c>
    </row>
    <row r="198" customFormat="false" ht="15" hidden="false" customHeight="false" outlineLevel="0" collapsed="false">
      <c r="A198" s="15" t="n">
        <v>46077</v>
      </c>
      <c r="B198" s="16" t="n">
        <f aca="false">MONTH(A198)</f>
        <v>2</v>
      </c>
      <c r="C198" s="16" t="s">
        <v>43</v>
      </c>
      <c r="D198" s="16" t="s">
        <v>35</v>
      </c>
      <c r="E198" s="16" t="s">
        <v>52</v>
      </c>
      <c r="F198" s="16" t="n">
        <v>4</v>
      </c>
      <c r="G198" s="17" t="n">
        <v>900</v>
      </c>
      <c r="H198" s="17" t="n">
        <v>650</v>
      </c>
      <c r="I198" s="17" t="n">
        <f aca="false">F198*G198</f>
        <v>3600</v>
      </c>
      <c r="J198" s="17" t="n">
        <f aca="false">F198*(G198-H198)</f>
        <v>1000</v>
      </c>
    </row>
    <row r="199" customFormat="false" ht="15" hidden="false" customHeight="false" outlineLevel="0" collapsed="false">
      <c r="A199" s="15" t="n">
        <v>46209</v>
      </c>
      <c r="B199" s="16" t="n">
        <f aca="false">MONTH(A199)</f>
        <v>7</v>
      </c>
      <c r="C199" s="16" t="s">
        <v>41</v>
      </c>
      <c r="D199" s="16" t="s">
        <v>34</v>
      </c>
      <c r="E199" s="16" t="s">
        <v>51</v>
      </c>
      <c r="F199" s="16" t="n">
        <v>1</v>
      </c>
      <c r="G199" s="17" t="n">
        <v>250</v>
      </c>
      <c r="H199" s="17" t="n">
        <v>140</v>
      </c>
      <c r="I199" s="17" t="n">
        <f aca="false">F199*G199</f>
        <v>250</v>
      </c>
      <c r="J199" s="17" t="n">
        <f aca="false">F199*(G199-H199)</f>
        <v>110</v>
      </c>
    </row>
    <row r="200" customFormat="false" ht="15" hidden="false" customHeight="false" outlineLevel="0" collapsed="false">
      <c r="A200" s="15" t="n">
        <v>46343</v>
      </c>
      <c r="B200" s="16" t="n">
        <f aca="false">MONTH(A200)</f>
        <v>11</v>
      </c>
      <c r="C200" s="16" t="s">
        <v>42</v>
      </c>
      <c r="D200" s="16" t="s">
        <v>33</v>
      </c>
      <c r="E200" s="16" t="s">
        <v>51</v>
      </c>
      <c r="F200" s="16" t="n">
        <v>10</v>
      </c>
      <c r="G200" s="17" t="n">
        <v>450</v>
      </c>
      <c r="H200" s="17" t="n">
        <v>280</v>
      </c>
      <c r="I200" s="17" t="n">
        <f aca="false">F200*G200</f>
        <v>4500</v>
      </c>
      <c r="J200" s="17" t="n">
        <f aca="false">F200*(G200-H200)</f>
        <v>1700</v>
      </c>
    </row>
    <row r="201" customFormat="false" ht="15" hidden="false" customHeight="false" outlineLevel="0" collapsed="false">
      <c r="A201" s="15" t="n">
        <v>46245</v>
      </c>
      <c r="B201" s="16" t="n">
        <f aca="false">MONTH(A201)</f>
        <v>8</v>
      </c>
      <c r="C201" s="16" t="s">
        <v>41</v>
      </c>
      <c r="D201" s="16" t="s">
        <v>32</v>
      </c>
      <c r="E201" s="16" t="s">
        <v>50</v>
      </c>
      <c r="F201" s="16" t="n">
        <v>1</v>
      </c>
      <c r="G201" s="17" t="n">
        <v>3800</v>
      </c>
      <c r="H201" s="17" t="n">
        <v>3000</v>
      </c>
      <c r="I201" s="17" t="n">
        <f aca="false">F201*G201</f>
        <v>3800</v>
      </c>
      <c r="J201" s="17" t="n">
        <f aca="false">F201*(G201-H201)</f>
        <v>800</v>
      </c>
    </row>
    <row r="202" customFormat="false" ht="15" hidden="false" customHeight="false" outlineLevel="0" collapsed="false">
      <c r="A202" s="15" t="n">
        <v>46280</v>
      </c>
      <c r="B202" s="16" t="n">
        <f aca="false">MONTH(A202)</f>
        <v>9</v>
      </c>
      <c r="C202" s="16" t="s">
        <v>41</v>
      </c>
      <c r="D202" s="16" t="s">
        <v>33</v>
      </c>
      <c r="E202" s="16" t="s">
        <v>51</v>
      </c>
      <c r="F202" s="16" t="n">
        <v>3</v>
      </c>
      <c r="G202" s="17" t="n">
        <v>450</v>
      </c>
      <c r="H202" s="17" t="n">
        <v>280</v>
      </c>
      <c r="I202" s="17" t="n">
        <f aca="false">F202*G202</f>
        <v>1350</v>
      </c>
      <c r="J202" s="17" t="n">
        <f aca="false">F202*(G202-H202)</f>
        <v>510</v>
      </c>
    </row>
    <row r="203" customFormat="false" ht="15" hidden="false" customHeight="false" outlineLevel="0" collapsed="false">
      <c r="A203" s="15" t="n">
        <v>46134</v>
      </c>
      <c r="B203" s="16" t="n">
        <f aca="false">MONTH(A203)</f>
        <v>4</v>
      </c>
      <c r="C203" s="16" t="s">
        <v>41</v>
      </c>
      <c r="D203" s="16" t="s">
        <v>30</v>
      </c>
      <c r="E203" s="16" t="s">
        <v>50</v>
      </c>
      <c r="F203" s="16" t="n">
        <v>3</v>
      </c>
      <c r="G203" s="17" t="n">
        <v>18500</v>
      </c>
      <c r="H203" s="17" t="n">
        <v>15000</v>
      </c>
      <c r="I203" s="17" t="n">
        <f aca="false">F203*G203</f>
        <v>55500</v>
      </c>
      <c r="J203" s="17" t="n">
        <f aca="false">F203*(G203-H203)</f>
        <v>10500</v>
      </c>
    </row>
    <row r="204" customFormat="false" ht="15" hidden="false" customHeight="false" outlineLevel="0" collapsed="false">
      <c r="A204" s="15" t="n">
        <v>46195</v>
      </c>
      <c r="B204" s="16" t="n">
        <f aca="false">MONTH(A204)</f>
        <v>6</v>
      </c>
      <c r="C204" s="16" t="s">
        <v>40</v>
      </c>
      <c r="D204" s="16" t="s">
        <v>36</v>
      </c>
      <c r="E204" s="16" t="s">
        <v>51</v>
      </c>
      <c r="F204" s="16" t="n">
        <v>11</v>
      </c>
      <c r="G204" s="17" t="n">
        <v>700</v>
      </c>
      <c r="H204" s="17" t="n">
        <v>480</v>
      </c>
      <c r="I204" s="17" t="n">
        <f aca="false">F204*G204</f>
        <v>7700</v>
      </c>
      <c r="J204" s="17" t="n">
        <f aca="false">F204*(G204-H204)</f>
        <v>2420</v>
      </c>
    </row>
    <row r="205" customFormat="false" ht="15" hidden="false" customHeight="false" outlineLevel="0" collapsed="false">
      <c r="A205" s="15" t="n">
        <v>46141</v>
      </c>
      <c r="B205" s="16" t="n">
        <f aca="false">MONTH(A205)</f>
        <v>4</v>
      </c>
      <c r="C205" s="16" t="s">
        <v>43</v>
      </c>
      <c r="D205" s="16" t="s">
        <v>36</v>
      </c>
      <c r="E205" s="16" t="s">
        <v>51</v>
      </c>
      <c r="F205" s="16" t="n">
        <v>4</v>
      </c>
      <c r="G205" s="17" t="n">
        <v>700</v>
      </c>
      <c r="H205" s="17" t="n">
        <v>480</v>
      </c>
      <c r="I205" s="17" t="n">
        <f aca="false">F205*G205</f>
        <v>2800</v>
      </c>
      <c r="J205" s="17" t="n">
        <f aca="false">F205*(G205-H205)</f>
        <v>880</v>
      </c>
    </row>
    <row r="206" customFormat="false" ht="15" hidden="false" customHeight="false" outlineLevel="0" collapsed="false">
      <c r="A206" s="15" t="n">
        <v>46204</v>
      </c>
      <c r="B206" s="16" t="n">
        <f aca="false">MONTH(A206)</f>
        <v>7</v>
      </c>
      <c r="C206" s="16" t="s">
        <v>43</v>
      </c>
      <c r="D206" s="16" t="s">
        <v>35</v>
      </c>
      <c r="E206" s="16" t="s">
        <v>52</v>
      </c>
      <c r="F206" s="16" t="n">
        <v>4</v>
      </c>
      <c r="G206" s="17" t="n">
        <v>900</v>
      </c>
      <c r="H206" s="17" t="n">
        <v>650</v>
      </c>
      <c r="I206" s="17" t="n">
        <f aca="false">F206*G206</f>
        <v>3600</v>
      </c>
      <c r="J206" s="17" t="n">
        <f aca="false">F206*(G206-H206)</f>
        <v>1000</v>
      </c>
    </row>
    <row r="207" customFormat="false" ht="15" hidden="false" customHeight="false" outlineLevel="0" collapsed="false">
      <c r="A207" s="15" t="n">
        <v>46381</v>
      </c>
      <c r="B207" s="16" t="n">
        <f aca="false">MONTH(A207)</f>
        <v>12</v>
      </c>
      <c r="C207" s="16" t="s">
        <v>41</v>
      </c>
      <c r="D207" s="16" t="s">
        <v>32</v>
      </c>
      <c r="E207" s="16" t="s">
        <v>50</v>
      </c>
      <c r="F207" s="16" t="n">
        <v>12</v>
      </c>
      <c r="G207" s="17" t="n">
        <v>3800</v>
      </c>
      <c r="H207" s="17" t="n">
        <v>3000</v>
      </c>
      <c r="I207" s="17" t="n">
        <f aca="false">F207*G207</f>
        <v>45600</v>
      </c>
      <c r="J207" s="17" t="n">
        <f aca="false">F207*(G207-H207)</f>
        <v>9600</v>
      </c>
    </row>
    <row r="208" customFormat="false" ht="15" hidden="false" customHeight="false" outlineLevel="0" collapsed="false">
      <c r="A208" s="15" t="n">
        <v>46268</v>
      </c>
      <c r="B208" s="16" t="n">
        <f aca="false">MONTH(A208)</f>
        <v>9</v>
      </c>
      <c r="C208" s="16" t="s">
        <v>41</v>
      </c>
      <c r="D208" s="16" t="s">
        <v>32</v>
      </c>
      <c r="E208" s="16" t="s">
        <v>50</v>
      </c>
      <c r="F208" s="16" t="n">
        <v>6</v>
      </c>
      <c r="G208" s="17" t="n">
        <v>3800</v>
      </c>
      <c r="H208" s="17" t="n">
        <v>3000</v>
      </c>
      <c r="I208" s="17" t="n">
        <f aca="false">F208*G208</f>
        <v>22800</v>
      </c>
      <c r="J208" s="17" t="n">
        <f aca="false">F208*(G208-H208)</f>
        <v>4800</v>
      </c>
    </row>
    <row r="209" customFormat="false" ht="15" hidden="false" customHeight="false" outlineLevel="0" collapsed="false">
      <c r="A209" s="15" t="n">
        <v>46356</v>
      </c>
      <c r="B209" s="16" t="n">
        <f aca="false">MONTH(A209)</f>
        <v>11</v>
      </c>
      <c r="C209" s="16" t="s">
        <v>41</v>
      </c>
      <c r="D209" s="16" t="s">
        <v>32</v>
      </c>
      <c r="E209" s="16" t="s">
        <v>50</v>
      </c>
      <c r="F209" s="16" t="n">
        <v>5</v>
      </c>
      <c r="G209" s="17" t="n">
        <v>3800</v>
      </c>
      <c r="H209" s="17" t="n">
        <v>3000</v>
      </c>
      <c r="I209" s="17" t="n">
        <f aca="false">F209*G209</f>
        <v>19000</v>
      </c>
      <c r="J209" s="17" t="n">
        <f aca="false">F209*(G209-H209)</f>
        <v>4000</v>
      </c>
    </row>
    <row r="210" customFormat="false" ht="15" hidden="false" customHeight="false" outlineLevel="0" collapsed="false">
      <c r="A210" s="15" t="n">
        <v>46379</v>
      </c>
      <c r="B210" s="16" t="n">
        <f aca="false">MONTH(A210)</f>
        <v>12</v>
      </c>
      <c r="C210" s="16" t="s">
        <v>40</v>
      </c>
      <c r="D210" s="16" t="s">
        <v>35</v>
      </c>
      <c r="E210" s="16" t="s">
        <v>52</v>
      </c>
      <c r="F210" s="16" t="n">
        <v>1</v>
      </c>
      <c r="G210" s="17" t="n">
        <v>900</v>
      </c>
      <c r="H210" s="17" t="n">
        <v>650</v>
      </c>
      <c r="I210" s="17" t="n">
        <f aca="false">F210*G210</f>
        <v>900</v>
      </c>
      <c r="J210" s="17" t="n">
        <f aca="false">F210*(G210-H210)</f>
        <v>250</v>
      </c>
    </row>
    <row r="211" customFormat="false" ht="15" hidden="false" customHeight="false" outlineLevel="0" collapsed="false">
      <c r="A211" s="15" t="n">
        <v>46178</v>
      </c>
      <c r="B211" s="16" t="n">
        <f aca="false">MONTH(A211)</f>
        <v>6</v>
      </c>
      <c r="C211" s="16" t="s">
        <v>42</v>
      </c>
      <c r="D211" s="16" t="s">
        <v>31</v>
      </c>
      <c r="E211" s="16" t="s">
        <v>50</v>
      </c>
      <c r="F211" s="16" t="n">
        <v>9</v>
      </c>
      <c r="G211" s="17" t="n">
        <v>4200</v>
      </c>
      <c r="H211" s="17" t="n">
        <v>3300</v>
      </c>
      <c r="I211" s="17" t="n">
        <f aca="false">F211*G211</f>
        <v>37800</v>
      </c>
      <c r="J211" s="17" t="n">
        <f aca="false">F211*(G211-H211)</f>
        <v>8100</v>
      </c>
    </row>
    <row r="212" customFormat="false" ht="15" hidden="false" customHeight="false" outlineLevel="0" collapsed="false">
      <c r="A212" s="15" t="n">
        <v>46108</v>
      </c>
      <c r="B212" s="16" t="n">
        <f aca="false">MONTH(A212)</f>
        <v>3</v>
      </c>
      <c r="C212" s="16" t="s">
        <v>43</v>
      </c>
      <c r="D212" s="16" t="s">
        <v>33</v>
      </c>
      <c r="E212" s="16" t="s">
        <v>51</v>
      </c>
      <c r="F212" s="16" t="n">
        <v>1</v>
      </c>
      <c r="G212" s="17" t="n">
        <v>450</v>
      </c>
      <c r="H212" s="17" t="n">
        <v>280</v>
      </c>
      <c r="I212" s="17" t="n">
        <f aca="false">F212*G212</f>
        <v>450</v>
      </c>
      <c r="J212" s="17" t="n">
        <f aca="false">F212*(G212-H212)</f>
        <v>170</v>
      </c>
    </row>
    <row r="213" customFormat="false" ht="15" hidden="false" customHeight="false" outlineLevel="0" collapsed="false">
      <c r="A213" s="15" t="n">
        <v>46318</v>
      </c>
      <c r="B213" s="16" t="n">
        <f aca="false">MONTH(A213)</f>
        <v>10</v>
      </c>
      <c r="C213" s="16" t="s">
        <v>42</v>
      </c>
      <c r="D213" s="16" t="s">
        <v>35</v>
      </c>
      <c r="E213" s="16" t="s">
        <v>52</v>
      </c>
      <c r="F213" s="16" t="n">
        <v>5</v>
      </c>
      <c r="G213" s="17" t="n">
        <v>900</v>
      </c>
      <c r="H213" s="17" t="n">
        <v>650</v>
      </c>
      <c r="I213" s="17" t="n">
        <f aca="false">F213*G213</f>
        <v>4500</v>
      </c>
      <c r="J213" s="17" t="n">
        <f aca="false">F213*(G213-H213)</f>
        <v>1250</v>
      </c>
    </row>
    <row r="214" customFormat="false" ht="15" hidden="false" customHeight="false" outlineLevel="0" collapsed="false">
      <c r="A214" s="15" t="n">
        <v>46336</v>
      </c>
      <c r="B214" s="16" t="n">
        <f aca="false">MONTH(A214)</f>
        <v>11</v>
      </c>
      <c r="C214" s="16" t="s">
        <v>41</v>
      </c>
      <c r="D214" s="16" t="s">
        <v>31</v>
      </c>
      <c r="E214" s="16" t="s">
        <v>50</v>
      </c>
      <c r="F214" s="16" t="n">
        <v>2</v>
      </c>
      <c r="G214" s="17" t="n">
        <v>4200</v>
      </c>
      <c r="H214" s="17" t="n">
        <v>3300</v>
      </c>
      <c r="I214" s="17" t="n">
        <f aca="false">F214*G214</f>
        <v>8400</v>
      </c>
      <c r="J214" s="17" t="n">
        <f aca="false">F214*(G214-H214)</f>
        <v>1800</v>
      </c>
    </row>
    <row r="215" customFormat="false" ht="15" hidden="false" customHeight="false" outlineLevel="0" collapsed="false">
      <c r="A215" s="15" t="n">
        <v>46035</v>
      </c>
      <c r="B215" s="16" t="n">
        <f aca="false">MONTH(A215)</f>
        <v>1</v>
      </c>
      <c r="C215" s="16" t="s">
        <v>41</v>
      </c>
      <c r="D215" s="16" t="s">
        <v>36</v>
      </c>
      <c r="E215" s="16" t="s">
        <v>51</v>
      </c>
      <c r="F215" s="16" t="n">
        <v>7</v>
      </c>
      <c r="G215" s="17" t="n">
        <v>700</v>
      </c>
      <c r="H215" s="17" t="n">
        <v>480</v>
      </c>
      <c r="I215" s="17" t="n">
        <f aca="false">F215*G215</f>
        <v>4900</v>
      </c>
      <c r="J215" s="17" t="n">
        <f aca="false">F215*(G215-H215)</f>
        <v>1540</v>
      </c>
    </row>
    <row r="216" customFormat="false" ht="15" hidden="false" customHeight="false" outlineLevel="0" collapsed="false">
      <c r="A216" s="15" t="n">
        <v>46278</v>
      </c>
      <c r="B216" s="16" t="n">
        <f aca="false">MONTH(A216)</f>
        <v>9</v>
      </c>
      <c r="C216" s="16" t="s">
        <v>41</v>
      </c>
      <c r="D216" s="16" t="s">
        <v>31</v>
      </c>
      <c r="E216" s="16" t="s">
        <v>50</v>
      </c>
      <c r="F216" s="16" t="n">
        <v>3</v>
      </c>
      <c r="G216" s="17" t="n">
        <v>4200</v>
      </c>
      <c r="H216" s="17" t="n">
        <v>3300</v>
      </c>
      <c r="I216" s="17" t="n">
        <f aca="false">F216*G216</f>
        <v>12600</v>
      </c>
      <c r="J216" s="17" t="n">
        <f aca="false">F216*(G216-H216)</f>
        <v>2700</v>
      </c>
    </row>
    <row r="217" customFormat="false" ht="15" hidden="false" customHeight="false" outlineLevel="0" collapsed="false">
      <c r="A217" s="15" t="n">
        <v>46243</v>
      </c>
      <c r="B217" s="16" t="n">
        <f aca="false">MONTH(A217)</f>
        <v>8</v>
      </c>
      <c r="C217" s="16" t="s">
        <v>43</v>
      </c>
      <c r="D217" s="16" t="s">
        <v>35</v>
      </c>
      <c r="E217" s="16" t="s">
        <v>52</v>
      </c>
      <c r="F217" s="16" t="n">
        <v>11</v>
      </c>
      <c r="G217" s="17" t="n">
        <v>900</v>
      </c>
      <c r="H217" s="17" t="n">
        <v>650</v>
      </c>
      <c r="I217" s="17" t="n">
        <f aca="false">F217*G217</f>
        <v>9900</v>
      </c>
      <c r="J217" s="17" t="n">
        <f aca="false">F217*(G217-H217)</f>
        <v>2750</v>
      </c>
    </row>
    <row r="218" customFormat="false" ht="15" hidden="false" customHeight="false" outlineLevel="0" collapsed="false">
      <c r="A218" s="15" t="n">
        <v>46089</v>
      </c>
      <c r="B218" s="16" t="n">
        <f aca="false">MONTH(A218)</f>
        <v>3</v>
      </c>
      <c r="C218" s="16" t="s">
        <v>43</v>
      </c>
      <c r="D218" s="16" t="s">
        <v>32</v>
      </c>
      <c r="E218" s="16" t="s">
        <v>50</v>
      </c>
      <c r="F218" s="16" t="n">
        <v>1</v>
      </c>
      <c r="G218" s="17" t="n">
        <v>3800</v>
      </c>
      <c r="H218" s="17" t="n">
        <v>3000</v>
      </c>
      <c r="I218" s="17" t="n">
        <f aca="false">F218*G218</f>
        <v>3800</v>
      </c>
      <c r="J218" s="17" t="n">
        <f aca="false">F218*(G218-H218)</f>
        <v>800</v>
      </c>
    </row>
    <row r="219" customFormat="false" ht="15" hidden="false" customHeight="false" outlineLevel="0" collapsed="false">
      <c r="A219" s="15" t="n">
        <v>46025</v>
      </c>
      <c r="B219" s="16" t="n">
        <f aca="false">MONTH(A219)</f>
        <v>1</v>
      </c>
      <c r="C219" s="16" t="s">
        <v>40</v>
      </c>
      <c r="D219" s="16" t="s">
        <v>31</v>
      </c>
      <c r="E219" s="16" t="s">
        <v>50</v>
      </c>
      <c r="F219" s="16" t="n">
        <v>3</v>
      </c>
      <c r="G219" s="17" t="n">
        <v>4200</v>
      </c>
      <c r="H219" s="17" t="n">
        <v>3300</v>
      </c>
      <c r="I219" s="17" t="n">
        <f aca="false">F219*G219</f>
        <v>12600</v>
      </c>
      <c r="J219" s="17" t="n">
        <f aca="false">F219*(G219-H219)</f>
        <v>2700</v>
      </c>
    </row>
    <row r="220" customFormat="false" ht="15" hidden="false" customHeight="false" outlineLevel="0" collapsed="false">
      <c r="A220" s="15" t="n">
        <v>46079</v>
      </c>
      <c r="B220" s="16" t="n">
        <f aca="false">MONTH(A220)</f>
        <v>2</v>
      </c>
      <c r="C220" s="16" t="s">
        <v>43</v>
      </c>
      <c r="D220" s="16" t="s">
        <v>33</v>
      </c>
      <c r="E220" s="16" t="s">
        <v>51</v>
      </c>
      <c r="F220" s="16" t="n">
        <v>1</v>
      </c>
      <c r="G220" s="17" t="n">
        <v>450</v>
      </c>
      <c r="H220" s="17" t="n">
        <v>280</v>
      </c>
      <c r="I220" s="17" t="n">
        <f aca="false">F220*G220</f>
        <v>450</v>
      </c>
      <c r="J220" s="17" t="n">
        <f aca="false">F220*(G220-H220)</f>
        <v>170</v>
      </c>
    </row>
    <row r="221" customFormat="false" ht="15" hidden="false" customHeight="false" outlineLevel="0" collapsed="false">
      <c r="A221" s="15" t="n">
        <v>46348</v>
      </c>
      <c r="B221" s="16" t="n">
        <f aca="false">MONTH(A221)</f>
        <v>11</v>
      </c>
      <c r="C221" s="16" t="s">
        <v>42</v>
      </c>
      <c r="D221" s="16" t="s">
        <v>30</v>
      </c>
      <c r="E221" s="16" t="s">
        <v>50</v>
      </c>
      <c r="F221" s="16" t="n">
        <v>2</v>
      </c>
      <c r="G221" s="17" t="n">
        <v>18500</v>
      </c>
      <c r="H221" s="17" t="n">
        <v>15000</v>
      </c>
      <c r="I221" s="17" t="n">
        <f aca="false">F221*G221</f>
        <v>37000</v>
      </c>
      <c r="J221" s="17" t="n">
        <f aca="false">F221*(G221-H221)</f>
        <v>7000</v>
      </c>
    </row>
    <row r="222" customFormat="false" ht="15" hidden="false" customHeight="false" outlineLevel="0" collapsed="false">
      <c r="A222" s="15" t="n">
        <v>46284</v>
      </c>
      <c r="B222" s="16" t="n">
        <f aca="false">MONTH(A222)</f>
        <v>9</v>
      </c>
      <c r="C222" s="16" t="s">
        <v>42</v>
      </c>
      <c r="D222" s="16" t="s">
        <v>31</v>
      </c>
      <c r="E222" s="16" t="s">
        <v>50</v>
      </c>
      <c r="F222" s="16" t="n">
        <v>11</v>
      </c>
      <c r="G222" s="17" t="n">
        <v>4200</v>
      </c>
      <c r="H222" s="17" t="n">
        <v>3300</v>
      </c>
      <c r="I222" s="17" t="n">
        <f aca="false">F222*G222</f>
        <v>46200</v>
      </c>
      <c r="J222" s="17" t="n">
        <f aca="false">F222*(G222-H222)</f>
        <v>9900</v>
      </c>
    </row>
    <row r="223" customFormat="false" ht="15" hidden="false" customHeight="false" outlineLevel="0" collapsed="false">
      <c r="A223" s="15" t="n">
        <v>46387</v>
      </c>
      <c r="B223" s="16" t="n">
        <f aca="false">MONTH(A223)</f>
        <v>12</v>
      </c>
      <c r="C223" s="16" t="s">
        <v>42</v>
      </c>
      <c r="D223" s="16" t="s">
        <v>33</v>
      </c>
      <c r="E223" s="16" t="s">
        <v>51</v>
      </c>
      <c r="F223" s="16" t="n">
        <v>7</v>
      </c>
      <c r="G223" s="17" t="n">
        <v>450</v>
      </c>
      <c r="H223" s="17" t="n">
        <v>280</v>
      </c>
      <c r="I223" s="17" t="n">
        <f aca="false">F223*G223</f>
        <v>3150</v>
      </c>
      <c r="J223" s="17" t="n">
        <f aca="false">F223*(G223-H223)</f>
        <v>1190</v>
      </c>
    </row>
    <row r="224" customFormat="false" ht="15" hidden="false" customHeight="false" outlineLevel="0" collapsed="false">
      <c r="A224" s="15" t="n">
        <v>46223</v>
      </c>
      <c r="B224" s="16" t="n">
        <f aca="false">MONTH(A224)</f>
        <v>7</v>
      </c>
      <c r="C224" s="16" t="s">
        <v>40</v>
      </c>
      <c r="D224" s="16" t="s">
        <v>36</v>
      </c>
      <c r="E224" s="16" t="s">
        <v>51</v>
      </c>
      <c r="F224" s="16" t="n">
        <v>5</v>
      </c>
      <c r="G224" s="17" t="n">
        <v>700</v>
      </c>
      <c r="H224" s="17" t="n">
        <v>480</v>
      </c>
      <c r="I224" s="17" t="n">
        <f aca="false">F224*G224</f>
        <v>3500</v>
      </c>
      <c r="J224" s="17" t="n">
        <f aca="false">F224*(G224-H224)</f>
        <v>1100</v>
      </c>
    </row>
    <row r="225" customFormat="false" ht="15" hidden="false" customHeight="false" outlineLevel="0" collapsed="false">
      <c r="A225" s="15" t="n">
        <v>46025</v>
      </c>
      <c r="B225" s="16" t="n">
        <f aca="false">MONTH(A225)</f>
        <v>1</v>
      </c>
      <c r="C225" s="16" t="s">
        <v>43</v>
      </c>
      <c r="D225" s="16" t="s">
        <v>32</v>
      </c>
      <c r="E225" s="16" t="s">
        <v>50</v>
      </c>
      <c r="F225" s="16" t="n">
        <v>5</v>
      </c>
      <c r="G225" s="17" t="n">
        <v>3800</v>
      </c>
      <c r="H225" s="17" t="n">
        <v>3000</v>
      </c>
      <c r="I225" s="17" t="n">
        <f aca="false">F225*G225</f>
        <v>19000</v>
      </c>
      <c r="J225" s="17" t="n">
        <f aca="false">F225*(G225-H225)</f>
        <v>4000</v>
      </c>
    </row>
    <row r="226" customFormat="false" ht="15" hidden="false" customHeight="false" outlineLevel="0" collapsed="false">
      <c r="A226" s="15" t="n">
        <v>46343</v>
      </c>
      <c r="B226" s="16" t="n">
        <f aca="false">MONTH(A226)</f>
        <v>11</v>
      </c>
      <c r="C226" s="16" t="s">
        <v>42</v>
      </c>
      <c r="D226" s="16" t="s">
        <v>33</v>
      </c>
      <c r="E226" s="16" t="s">
        <v>51</v>
      </c>
      <c r="F226" s="16" t="n">
        <v>12</v>
      </c>
      <c r="G226" s="17" t="n">
        <v>450</v>
      </c>
      <c r="H226" s="17" t="n">
        <v>280</v>
      </c>
      <c r="I226" s="17" t="n">
        <f aca="false">F226*G226</f>
        <v>5400</v>
      </c>
      <c r="J226" s="17" t="n">
        <f aca="false">F226*(G226-H226)</f>
        <v>2040</v>
      </c>
    </row>
    <row r="227" customFormat="false" ht="15" hidden="false" customHeight="false" outlineLevel="0" collapsed="false">
      <c r="A227" s="15" t="n">
        <v>46201</v>
      </c>
      <c r="B227" s="16" t="n">
        <f aca="false">MONTH(A227)</f>
        <v>6</v>
      </c>
      <c r="C227" s="16" t="s">
        <v>41</v>
      </c>
      <c r="D227" s="16" t="s">
        <v>32</v>
      </c>
      <c r="E227" s="16" t="s">
        <v>50</v>
      </c>
      <c r="F227" s="16" t="n">
        <v>9</v>
      </c>
      <c r="G227" s="17" t="n">
        <v>3800</v>
      </c>
      <c r="H227" s="17" t="n">
        <v>3000</v>
      </c>
      <c r="I227" s="17" t="n">
        <f aca="false">F227*G227</f>
        <v>34200</v>
      </c>
      <c r="J227" s="17" t="n">
        <f aca="false">F227*(G227-H227)</f>
        <v>7200</v>
      </c>
    </row>
    <row r="228" customFormat="false" ht="15" hidden="false" customHeight="false" outlineLevel="0" collapsed="false">
      <c r="A228" s="15" t="n">
        <v>46356</v>
      </c>
      <c r="B228" s="16" t="n">
        <f aca="false">MONTH(A228)</f>
        <v>11</v>
      </c>
      <c r="C228" s="16" t="s">
        <v>42</v>
      </c>
      <c r="D228" s="16" t="s">
        <v>32</v>
      </c>
      <c r="E228" s="16" t="s">
        <v>50</v>
      </c>
      <c r="F228" s="16" t="n">
        <v>4</v>
      </c>
      <c r="G228" s="17" t="n">
        <v>3800</v>
      </c>
      <c r="H228" s="17" t="n">
        <v>3000</v>
      </c>
      <c r="I228" s="17" t="n">
        <f aca="false">F228*G228</f>
        <v>15200</v>
      </c>
      <c r="J228" s="17" t="n">
        <f aca="false">F228*(G228-H228)</f>
        <v>3200</v>
      </c>
    </row>
    <row r="229" customFormat="false" ht="15" hidden="false" customHeight="false" outlineLevel="0" collapsed="false">
      <c r="A229" s="15" t="n">
        <v>46105</v>
      </c>
      <c r="B229" s="16" t="n">
        <f aca="false">MONTH(A229)</f>
        <v>3</v>
      </c>
      <c r="C229" s="16" t="s">
        <v>40</v>
      </c>
      <c r="D229" s="16" t="s">
        <v>35</v>
      </c>
      <c r="E229" s="16" t="s">
        <v>52</v>
      </c>
      <c r="F229" s="16" t="n">
        <v>5</v>
      </c>
      <c r="G229" s="17" t="n">
        <v>900</v>
      </c>
      <c r="H229" s="17" t="n">
        <v>650</v>
      </c>
      <c r="I229" s="17" t="n">
        <f aca="false">F229*G229</f>
        <v>4500</v>
      </c>
      <c r="J229" s="17" t="n">
        <f aca="false">F229*(G229-H229)</f>
        <v>1250</v>
      </c>
    </row>
    <row r="230" customFormat="false" ht="15" hidden="false" customHeight="false" outlineLevel="0" collapsed="false">
      <c r="A230" s="15" t="n">
        <v>46105</v>
      </c>
      <c r="B230" s="16" t="n">
        <f aca="false">MONTH(A230)</f>
        <v>3</v>
      </c>
      <c r="C230" s="16" t="s">
        <v>40</v>
      </c>
      <c r="D230" s="16" t="s">
        <v>36</v>
      </c>
      <c r="E230" s="16" t="s">
        <v>51</v>
      </c>
      <c r="F230" s="16" t="n">
        <v>6</v>
      </c>
      <c r="G230" s="17" t="n">
        <v>700</v>
      </c>
      <c r="H230" s="17" t="n">
        <v>480</v>
      </c>
      <c r="I230" s="17" t="n">
        <f aca="false">F230*G230</f>
        <v>4200</v>
      </c>
      <c r="J230" s="17" t="n">
        <f aca="false">F230*(G230-H230)</f>
        <v>1320</v>
      </c>
    </row>
    <row r="231" customFormat="false" ht="15" hidden="false" customHeight="false" outlineLevel="0" collapsed="false">
      <c r="A231" s="15" t="n">
        <v>46108</v>
      </c>
      <c r="B231" s="16" t="n">
        <f aca="false">MONTH(A231)</f>
        <v>3</v>
      </c>
      <c r="C231" s="16" t="s">
        <v>42</v>
      </c>
      <c r="D231" s="16" t="s">
        <v>30</v>
      </c>
      <c r="E231" s="16" t="s">
        <v>50</v>
      </c>
      <c r="F231" s="16" t="n">
        <v>12</v>
      </c>
      <c r="G231" s="17" t="n">
        <v>18500</v>
      </c>
      <c r="H231" s="17" t="n">
        <v>15000</v>
      </c>
      <c r="I231" s="17" t="n">
        <f aca="false">F231*G231</f>
        <v>222000</v>
      </c>
      <c r="J231" s="17" t="n">
        <f aca="false">F231*(G231-H231)</f>
        <v>42000</v>
      </c>
    </row>
    <row r="232" customFormat="false" ht="15" hidden="false" customHeight="false" outlineLevel="0" collapsed="false">
      <c r="A232" s="15" t="n">
        <v>46281</v>
      </c>
      <c r="B232" s="16" t="n">
        <f aca="false">MONTH(A232)</f>
        <v>9</v>
      </c>
      <c r="C232" s="16" t="s">
        <v>40</v>
      </c>
      <c r="D232" s="16" t="s">
        <v>31</v>
      </c>
      <c r="E232" s="16" t="s">
        <v>50</v>
      </c>
      <c r="F232" s="16" t="n">
        <v>1</v>
      </c>
      <c r="G232" s="17" t="n">
        <v>4200</v>
      </c>
      <c r="H232" s="17" t="n">
        <v>3300</v>
      </c>
      <c r="I232" s="17" t="n">
        <f aca="false">F232*G232</f>
        <v>4200</v>
      </c>
      <c r="J232" s="17" t="n">
        <f aca="false">F232*(G232-H232)</f>
        <v>900</v>
      </c>
    </row>
    <row r="233" customFormat="false" ht="15" hidden="false" customHeight="false" outlineLevel="0" collapsed="false">
      <c r="A233" s="15" t="n">
        <v>46037</v>
      </c>
      <c r="B233" s="16" t="n">
        <f aca="false">MONTH(A233)</f>
        <v>1</v>
      </c>
      <c r="C233" s="16" t="s">
        <v>41</v>
      </c>
      <c r="D233" s="16" t="s">
        <v>36</v>
      </c>
      <c r="E233" s="16" t="s">
        <v>51</v>
      </c>
      <c r="F233" s="16" t="n">
        <v>6</v>
      </c>
      <c r="G233" s="17" t="n">
        <v>700</v>
      </c>
      <c r="H233" s="17" t="n">
        <v>480</v>
      </c>
      <c r="I233" s="17" t="n">
        <f aca="false">F233*G233</f>
        <v>4200</v>
      </c>
      <c r="J233" s="17" t="n">
        <f aca="false">F233*(G233-H233)</f>
        <v>1320</v>
      </c>
    </row>
    <row r="234" customFormat="false" ht="15" hidden="false" customHeight="false" outlineLevel="0" collapsed="false">
      <c r="A234" s="15" t="n">
        <v>46372</v>
      </c>
      <c r="B234" s="16" t="n">
        <f aca="false">MONTH(A234)</f>
        <v>12</v>
      </c>
      <c r="C234" s="16" t="s">
        <v>41</v>
      </c>
      <c r="D234" s="16" t="s">
        <v>34</v>
      </c>
      <c r="E234" s="16" t="s">
        <v>51</v>
      </c>
      <c r="F234" s="16" t="n">
        <v>3</v>
      </c>
      <c r="G234" s="17" t="n">
        <v>250</v>
      </c>
      <c r="H234" s="17" t="n">
        <v>140</v>
      </c>
      <c r="I234" s="17" t="n">
        <f aca="false">F234*G234</f>
        <v>750</v>
      </c>
      <c r="J234" s="17" t="n">
        <f aca="false">F234*(G234-H234)</f>
        <v>330</v>
      </c>
    </row>
    <row r="235" customFormat="false" ht="15" hidden="false" customHeight="false" outlineLevel="0" collapsed="false">
      <c r="A235" s="15" t="n">
        <v>46188</v>
      </c>
      <c r="B235" s="16" t="n">
        <f aca="false">MONTH(A235)</f>
        <v>6</v>
      </c>
      <c r="C235" s="16" t="s">
        <v>41</v>
      </c>
      <c r="D235" s="16" t="s">
        <v>36</v>
      </c>
      <c r="E235" s="16" t="s">
        <v>51</v>
      </c>
      <c r="F235" s="16" t="n">
        <v>10</v>
      </c>
      <c r="G235" s="17" t="n">
        <v>700</v>
      </c>
      <c r="H235" s="17" t="n">
        <v>480</v>
      </c>
      <c r="I235" s="17" t="n">
        <f aca="false">F235*G235</f>
        <v>7000</v>
      </c>
      <c r="J235" s="17" t="n">
        <f aca="false">F235*(G235-H235)</f>
        <v>2200</v>
      </c>
    </row>
    <row r="236" customFormat="false" ht="15" hidden="false" customHeight="false" outlineLevel="0" collapsed="false">
      <c r="A236" s="15" t="n">
        <v>46124</v>
      </c>
      <c r="B236" s="16" t="n">
        <f aca="false">MONTH(A236)</f>
        <v>4</v>
      </c>
      <c r="C236" s="16" t="s">
        <v>40</v>
      </c>
      <c r="D236" s="16" t="s">
        <v>36</v>
      </c>
      <c r="E236" s="16" t="s">
        <v>51</v>
      </c>
      <c r="F236" s="16" t="n">
        <v>3</v>
      </c>
      <c r="G236" s="17" t="n">
        <v>700</v>
      </c>
      <c r="H236" s="17" t="n">
        <v>480</v>
      </c>
      <c r="I236" s="17" t="n">
        <f aca="false">F236*G236</f>
        <v>2100</v>
      </c>
      <c r="J236" s="17" t="n">
        <f aca="false">F236*(G236-H236)</f>
        <v>660</v>
      </c>
    </row>
    <row r="237" customFormat="false" ht="15" hidden="false" customHeight="false" outlineLevel="0" collapsed="false">
      <c r="A237" s="15" t="n">
        <v>46180</v>
      </c>
      <c r="B237" s="16" t="n">
        <f aca="false">MONTH(A237)</f>
        <v>6</v>
      </c>
      <c r="C237" s="16" t="s">
        <v>43</v>
      </c>
      <c r="D237" s="16" t="s">
        <v>35</v>
      </c>
      <c r="E237" s="16" t="s">
        <v>52</v>
      </c>
      <c r="F237" s="16" t="n">
        <v>5</v>
      </c>
      <c r="G237" s="17" t="n">
        <v>900</v>
      </c>
      <c r="H237" s="17" t="n">
        <v>650</v>
      </c>
      <c r="I237" s="17" t="n">
        <f aca="false">F237*G237</f>
        <v>4500</v>
      </c>
      <c r="J237" s="17" t="n">
        <f aca="false">F237*(G237-H237)</f>
        <v>1250</v>
      </c>
    </row>
    <row r="238" customFormat="false" ht="15" hidden="false" customHeight="false" outlineLevel="0" collapsed="false">
      <c r="A238" s="15" t="n">
        <v>46133</v>
      </c>
      <c r="B238" s="16" t="n">
        <f aca="false">MONTH(A238)</f>
        <v>4</v>
      </c>
      <c r="C238" s="16" t="s">
        <v>43</v>
      </c>
      <c r="D238" s="16" t="s">
        <v>32</v>
      </c>
      <c r="E238" s="16" t="s">
        <v>50</v>
      </c>
      <c r="F238" s="16" t="n">
        <v>7</v>
      </c>
      <c r="G238" s="17" t="n">
        <v>3800</v>
      </c>
      <c r="H238" s="17" t="n">
        <v>3000</v>
      </c>
      <c r="I238" s="17" t="n">
        <f aca="false">F238*G238</f>
        <v>26600</v>
      </c>
      <c r="J238" s="17" t="n">
        <f aca="false">F238*(G238-H238)</f>
        <v>5600</v>
      </c>
    </row>
    <row r="239" customFormat="false" ht="15" hidden="false" customHeight="false" outlineLevel="0" collapsed="false">
      <c r="A239" s="15" t="n">
        <v>46174</v>
      </c>
      <c r="B239" s="16" t="n">
        <f aca="false">MONTH(A239)</f>
        <v>6</v>
      </c>
      <c r="C239" s="16" t="s">
        <v>40</v>
      </c>
      <c r="D239" s="16" t="s">
        <v>36</v>
      </c>
      <c r="E239" s="16" t="s">
        <v>51</v>
      </c>
      <c r="F239" s="16" t="n">
        <v>4</v>
      </c>
      <c r="G239" s="17" t="n">
        <v>700</v>
      </c>
      <c r="H239" s="17" t="n">
        <v>480</v>
      </c>
      <c r="I239" s="17" t="n">
        <f aca="false">F239*G239</f>
        <v>2800</v>
      </c>
      <c r="J239" s="17" t="n">
        <f aca="false">F239*(G239-H239)</f>
        <v>880</v>
      </c>
    </row>
    <row r="240" customFormat="false" ht="15" hidden="false" customHeight="false" outlineLevel="0" collapsed="false">
      <c r="A240" s="15" t="n">
        <v>46187</v>
      </c>
      <c r="B240" s="16" t="n">
        <f aca="false">MONTH(A240)</f>
        <v>6</v>
      </c>
      <c r="C240" s="16" t="s">
        <v>41</v>
      </c>
      <c r="D240" s="16" t="s">
        <v>32</v>
      </c>
      <c r="E240" s="16" t="s">
        <v>50</v>
      </c>
      <c r="F240" s="16" t="n">
        <v>5</v>
      </c>
      <c r="G240" s="17" t="n">
        <v>3800</v>
      </c>
      <c r="H240" s="17" t="n">
        <v>3000</v>
      </c>
      <c r="I240" s="17" t="n">
        <f aca="false">F240*G240</f>
        <v>19000</v>
      </c>
      <c r="J240" s="17" t="n">
        <f aca="false">F240*(G240-H240)</f>
        <v>4000</v>
      </c>
    </row>
    <row r="241" customFormat="false" ht="15" hidden="false" customHeight="false" outlineLevel="0" collapsed="false">
      <c r="A241" s="15" t="n">
        <v>46244</v>
      </c>
      <c r="B241" s="16" t="n">
        <f aca="false">MONTH(A241)</f>
        <v>8</v>
      </c>
      <c r="C241" s="16" t="s">
        <v>41</v>
      </c>
      <c r="D241" s="16" t="s">
        <v>36</v>
      </c>
      <c r="E241" s="16" t="s">
        <v>51</v>
      </c>
      <c r="F241" s="16" t="n">
        <v>2</v>
      </c>
      <c r="G241" s="17" t="n">
        <v>700</v>
      </c>
      <c r="H241" s="17" t="n">
        <v>480</v>
      </c>
      <c r="I241" s="17" t="n">
        <f aca="false">F241*G241</f>
        <v>1400</v>
      </c>
      <c r="J241" s="17" t="n">
        <f aca="false">F241*(G241-H241)</f>
        <v>440</v>
      </c>
    </row>
    <row r="242" customFormat="false" ht="15" hidden="false" customHeight="false" outlineLevel="0" collapsed="false">
      <c r="A242" s="15" t="n">
        <v>46260</v>
      </c>
      <c r="B242" s="16" t="n">
        <f aca="false">MONTH(A242)</f>
        <v>8</v>
      </c>
      <c r="C242" s="16" t="s">
        <v>43</v>
      </c>
      <c r="D242" s="16" t="s">
        <v>34</v>
      </c>
      <c r="E242" s="16" t="s">
        <v>51</v>
      </c>
      <c r="F242" s="16" t="n">
        <v>12</v>
      </c>
      <c r="G242" s="17" t="n">
        <v>250</v>
      </c>
      <c r="H242" s="17" t="n">
        <v>140</v>
      </c>
      <c r="I242" s="17" t="n">
        <f aca="false">F242*G242</f>
        <v>3000</v>
      </c>
      <c r="J242" s="17" t="n">
        <f aca="false">F242*(G242-H242)</f>
        <v>1320</v>
      </c>
    </row>
    <row r="243" customFormat="false" ht="15" hidden="false" customHeight="false" outlineLevel="0" collapsed="false">
      <c r="A243" s="15" t="n">
        <v>46116</v>
      </c>
      <c r="B243" s="16" t="n">
        <f aca="false">MONTH(A243)</f>
        <v>4</v>
      </c>
      <c r="C243" s="16" t="s">
        <v>41</v>
      </c>
      <c r="D243" s="16" t="s">
        <v>35</v>
      </c>
      <c r="E243" s="16" t="s">
        <v>52</v>
      </c>
      <c r="F243" s="16" t="n">
        <v>12</v>
      </c>
      <c r="G243" s="17" t="n">
        <v>900</v>
      </c>
      <c r="H243" s="17" t="n">
        <v>650</v>
      </c>
      <c r="I243" s="17" t="n">
        <f aca="false">F243*G243</f>
        <v>10800</v>
      </c>
      <c r="J243" s="17" t="n">
        <f aca="false">F243*(G243-H243)</f>
        <v>3000</v>
      </c>
    </row>
    <row r="244" customFormat="false" ht="15" hidden="false" customHeight="false" outlineLevel="0" collapsed="false">
      <c r="A244" s="15" t="n">
        <v>46247</v>
      </c>
      <c r="B244" s="16" t="n">
        <f aca="false">MONTH(A244)</f>
        <v>8</v>
      </c>
      <c r="C244" s="16" t="s">
        <v>40</v>
      </c>
      <c r="D244" s="16" t="s">
        <v>34</v>
      </c>
      <c r="E244" s="16" t="s">
        <v>51</v>
      </c>
      <c r="F244" s="16" t="n">
        <v>7</v>
      </c>
      <c r="G244" s="17" t="n">
        <v>250</v>
      </c>
      <c r="H244" s="17" t="n">
        <v>140</v>
      </c>
      <c r="I244" s="17" t="n">
        <f aca="false">F244*G244</f>
        <v>1750</v>
      </c>
      <c r="J244" s="17" t="n">
        <f aca="false">F244*(G244-H244)</f>
        <v>770</v>
      </c>
    </row>
    <row r="245" customFormat="false" ht="15" hidden="false" customHeight="false" outlineLevel="0" collapsed="false">
      <c r="A245" s="15" t="n">
        <v>46066</v>
      </c>
      <c r="B245" s="16" t="n">
        <f aca="false">MONTH(A245)</f>
        <v>2</v>
      </c>
      <c r="C245" s="16" t="s">
        <v>43</v>
      </c>
      <c r="D245" s="16" t="s">
        <v>33</v>
      </c>
      <c r="E245" s="16" t="s">
        <v>51</v>
      </c>
      <c r="F245" s="16" t="n">
        <v>3</v>
      </c>
      <c r="G245" s="17" t="n">
        <v>450</v>
      </c>
      <c r="H245" s="17" t="n">
        <v>280</v>
      </c>
      <c r="I245" s="17" t="n">
        <f aca="false">F245*G245</f>
        <v>1350</v>
      </c>
      <c r="J245" s="17" t="n">
        <f aca="false">F245*(G245-H245)</f>
        <v>510</v>
      </c>
    </row>
    <row r="246" customFormat="false" ht="15" hidden="false" customHeight="false" outlineLevel="0" collapsed="false">
      <c r="A246" s="15" t="n">
        <v>46303</v>
      </c>
      <c r="B246" s="16" t="n">
        <f aca="false">MONTH(A246)</f>
        <v>10</v>
      </c>
      <c r="C246" s="16" t="s">
        <v>40</v>
      </c>
      <c r="D246" s="16" t="s">
        <v>36</v>
      </c>
      <c r="E246" s="16" t="s">
        <v>51</v>
      </c>
      <c r="F246" s="16" t="n">
        <v>10</v>
      </c>
      <c r="G246" s="17" t="n">
        <v>700</v>
      </c>
      <c r="H246" s="17" t="n">
        <v>480</v>
      </c>
      <c r="I246" s="17" t="n">
        <f aca="false">F246*G246</f>
        <v>7000</v>
      </c>
      <c r="J246" s="17" t="n">
        <f aca="false">F246*(G246-H246)</f>
        <v>2200</v>
      </c>
    </row>
    <row r="247" customFormat="false" ht="15" hidden="false" customHeight="false" outlineLevel="0" collapsed="false">
      <c r="A247" s="15" t="n">
        <v>46027</v>
      </c>
      <c r="B247" s="16" t="n">
        <f aca="false">MONTH(A247)</f>
        <v>1</v>
      </c>
      <c r="C247" s="16" t="s">
        <v>40</v>
      </c>
      <c r="D247" s="16" t="s">
        <v>36</v>
      </c>
      <c r="E247" s="16" t="s">
        <v>51</v>
      </c>
      <c r="F247" s="16" t="n">
        <v>5</v>
      </c>
      <c r="G247" s="17" t="n">
        <v>700</v>
      </c>
      <c r="H247" s="17" t="n">
        <v>480</v>
      </c>
      <c r="I247" s="17" t="n">
        <f aca="false">F247*G247</f>
        <v>3500</v>
      </c>
      <c r="J247" s="17" t="n">
        <f aca="false">F247*(G247-H247)</f>
        <v>1100</v>
      </c>
    </row>
    <row r="248" customFormat="false" ht="15" hidden="false" customHeight="false" outlineLevel="0" collapsed="false">
      <c r="A248" s="15" t="n">
        <v>46095</v>
      </c>
      <c r="B248" s="16" t="n">
        <f aca="false">MONTH(A248)</f>
        <v>3</v>
      </c>
      <c r="C248" s="16" t="s">
        <v>40</v>
      </c>
      <c r="D248" s="16" t="s">
        <v>34</v>
      </c>
      <c r="E248" s="16" t="s">
        <v>51</v>
      </c>
      <c r="F248" s="16" t="n">
        <v>11</v>
      </c>
      <c r="G248" s="17" t="n">
        <v>250</v>
      </c>
      <c r="H248" s="17" t="n">
        <v>140</v>
      </c>
      <c r="I248" s="17" t="n">
        <f aca="false">F248*G248</f>
        <v>2750</v>
      </c>
      <c r="J248" s="17" t="n">
        <f aca="false">F248*(G248-H248)</f>
        <v>1210</v>
      </c>
    </row>
    <row r="249" customFormat="false" ht="15" hidden="false" customHeight="false" outlineLevel="0" collapsed="false">
      <c r="A249" s="15" t="n">
        <v>46248</v>
      </c>
      <c r="B249" s="16" t="n">
        <f aca="false">MONTH(A249)</f>
        <v>8</v>
      </c>
      <c r="C249" s="16" t="s">
        <v>40</v>
      </c>
      <c r="D249" s="16" t="s">
        <v>30</v>
      </c>
      <c r="E249" s="16" t="s">
        <v>50</v>
      </c>
      <c r="F249" s="16" t="n">
        <v>10</v>
      </c>
      <c r="G249" s="17" t="n">
        <v>18500</v>
      </c>
      <c r="H249" s="17" t="n">
        <v>15000</v>
      </c>
      <c r="I249" s="17" t="n">
        <f aca="false">F249*G249</f>
        <v>185000</v>
      </c>
      <c r="J249" s="17" t="n">
        <f aca="false">F249*(G249-H249)</f>
        <v>35000</v>
      </c>
    </row>
    <row r="250" customFormat="false" ht="15" hidden="false" customHeight="false" outlineLevel="0" collapsed="false">
      <c r="A250" s="15" t="n">
        <v>46209</v>
      </c>
      <c r="B250" s="16" t="n">
        <f aca="false">MONTH(A250)</f>
        <v>7</v>
      </c>
      <c r="C250" s="16" t="s">
        <v>43</v>
      </c>
      <c r="D250" s="16" t="s">
        <v>33</v>
      </c>
      <c r="E250" s="16" t="s">
        <v>51</v>
      </c>
      <c r="F250" s="16" t="n">
        <v>8</v>
      </c>
      <c r="G250" s="17" t="n">
        <v>450</v>
      </c>
      <c r="H250" s="17" t="n">
        <v>280</v>
      </c>
      <c r="I250" s="17" t="n">
        <f aca="false">F250*G250</f>
        <v>3600</v>
      </c>
      <c r="J250" s="17" t="n">
        <f aca="false">F250*(G250-H250)</f>
        <v>1360</v>
      </c>
    </row>
    <row r="251" customFormat="false" ht="15" hidden="false" customHeight="false" outlineLevel="0" collapsed="false">
      <c r="A251" s="15" t="n">
        <v>46158</v>
      </c>
      <c r="B251" s="16" t="n">
        <f aca="false">MONTH(A251)</f>
        <v>5</v>
      </c>
      <c r="C251" s="16" t="s">
        <v>41</v>
      </c>
      <c r="D251" s="16" t="s">
        <v>33</v>
      </c>
      <c r="E251" s="16" t="s">
        <v>51</v>
      </c>
      <c r="F251" s="16" t="n">
        <v>10</v>
      </c>
      <c r="G251" s="17" t="n">
        <v>450</v>
      </c>
      <c r="H251" s="17" t="n">
        <v>280</v>
      </c>
      <c r="I251" s="17" t="n">
        <f aca="false">F251*G251</f>
        <v>4500</v>
      </c>
      <c r="J251" s="17" t="n">
        <f aca="false">F251*(G251-H251)</f>
        <v>1700</v>
      </c>
    </row>
    <row r="252" customFormat="false" ht="15" hidden="false" customHeight="false" outlineLevel="0" collapsed="false">
      <c r="A252" s="15" t="n">
        <v>46350</v>
      </c>
      <c r="B252" s="16" t="n">
        <f aca="false">MONTH(A252)</f>
        <v>11</v>
      </c>
      <c r="C252" s="16" t="s">
        <v>41</v>
      </c>
      <c r="D252" s="16" t="s">
        <v>32</v>
      </c>
      <c r="E252" s="16" t="s">
        <v>50</v>
      </c>
      <c r="F252" s="16" t="n">
        <v>5</v>
      </c>
      <c r="G252" s="17" t="n">
        <v>3800</v>
      </c>
      <c r="H252" s="17" t="n">
        <v>3000</v>
      </c>
      <c r="I252" s="17" t="n">
        <f aca="false">F252*G252</f>
        <v>19000</v>
      </c>
      <c r="J252" s="17" t="n">
        <f aca="false">F252*(G252-H252)</f>
        <v>4000</v>
      </c>
    </row>
    <row r="253" customFormat="false" ht="15" hidden="false" customHeight="false" outlineLevel="0" collapsed="false">
      <c r="A253" s="15" t="n">
        <v>46095</v>
      </c>
      <c r="B253" s="16" t="n">
        <f aca="false">MONTH(A253)</f>
        <v>3</v>
      </c>
      <c r="C253" s="16" t="s">
        <v>41</v>
      </c>
      <c r="D253" s="16" t="s">
        <v>30</v>
      </c>
      <c r="E253" s="16" t="s">
        <v>50</v>
      </c>
      <c r="F253" s="16" t="n">
        <v>7</v>
      </c>
      <c r="G253" s="17" t="n">
        <v>18500</v>
      </c>
      <c r="H253" s="17" t="n">
        <v>15000</v>
      </c>
      <c r="I253" s="17" t="n">
        <f aca="false">F253*G253</f>
        <v>129500</v>
      </c>
      <c r="J253" s="17" t="n">
        <f aca="false">F253*(G253-H253)</f>
        <v>24500</v>
      </c>
    </row>
    <row r="254" customFormat="false" ht="15" hidden="false" customHeight="false" outlineLevel="0" collapsed="false">
      <c r="A254" s="15" t="n">
        <v>46183</v>
      </c>
      <c r="B254" s="16" t="n">
        <f aca="false">MONTH(A254)</f>
        <v>6</v>
      </c>
      <c r="C254" s="16" t="s">
        <v>42</v>
      </c>
      <c r="D254" s="16" t="s">
        <v>35</v>
      </c>
      <c r="E254" s="16" t="s">
        <v>52</v>
      </c>
      <c r="F254" s="16" t="n">
        <v>6</v>
      </c>
      <c r="G254" s="17" t="n">
        <v>900</v>
      </c>
      <c r="H254" s="17" t="n">
        <v>650</v>
      </c>
      <c r="I254" s="17" t="n">
        <f aca="false">F254*G254</f>
        <v>5400</v>
      </c>
      <c r="J254" s="17" t="n">
        <f aca="false">F254*(G254-H254)</f>
        <v>1500</v>
      </c>
    </row>
    <row r="255" customFormat="false" ht="15" hidden="false" customHeight="false" outlineLevel="0" collapsed="false">
      <c r="A255" s="15" t="n">
        <v>46298</v>
      </c>
      <c r="B255" s="16" t="n">
        <f aca="false">MONTH(A255)</f>
        <v>10</v>
      </c>
      <c r="C255" s="16" t="s">
        <v>40</v>
      </c>
      <c r="D255" s="16" t="s">
        <v>33</v>
      </c>
      <c r="E255" s="16" t="s">
        <v>51</v>
      </c>
      <c r="F255" s="16" t="n">
        <v>6</v>
      </c>
      <c r="G255" s="17" t="n">
        <v>450</v>
      </c>
      <c r="H255" s="17" t="n">
        <v>280</v>
      </c>
      <c r="I255" s="17" t="n">
        <f aca="false">F255*G255</f>
        <v>2700</v>
      </c>
      <c r="J255" s="17" t="n">
        <f aca="false">F255*(G255-H255)</f>
        <v>1020</v>
      </c>
    </row>
    <row r="256" customFormat="false" ht="15" hidden="false" customHeight="false" outlineLevel="0" collapsed="false">
      <c r="A256" s="15" t="n">
        <v>46284</v>
      </c>
      <c r="B256" s="16" t="n">
        <f aca="false">MONTH(A256)</f>
        <v>9</v>
      </c>
      <c r="C256" s="16" t="s">
        <v>40</v>
      </c>
      <c r="D256" s="16" t="s">
        <v>34</v>
      </c>
      <c r="E256" s="16" t="s">
        <v>51</v>
      </c>
      <c r="F256" s="16" t="n">
        <v>2</v>
      </c>
      <c r="G256" s="17" t="n">
        <v>250</v>
      </c>
      <c r="H256" s="17" t="n">
        <v>140</v>
      </c>
      <c r="I256" s="17" t="n">
        <f aca="false">F256*G256</f>
        <v>500</v>
      </c>
      <c r="J256" s="17" t="n">
        <f aca="false">F256*(G256-H256)</f>
        <v>220</v>
      </c>
    </row>
    <row r="257" customFormat="false" ht="15" hidden="false" customHeight="false" outlineLevel="0" collapsed="false">
      <c r="A257" s="15" t="n">
        <v>46126</v>
      </c>
      <c r="B257" s="16" t="n">
        <f aca="false">MONTH(A257)</f>
        <v>4</v>
      </c>
      <c r="C257" s="16" t="s">
        <v>41</v>
      </c>
      <c r="D257" s="16" t="s">
        <v>35</v>
      </c>
      <c r="E257" s="16" t="s">
        <v>52</v>
      </c>
      <c r="F257" s="16" t="n">
        <v>8</v>
      </c>
      <c r="G257" s="17" t="n">
        <v>900</v>
      </c>
      <c r="H257" s="17" t="n">
        <v>650</v>
      </c>
      <c r="I257" s="17" t="n">
        <f aca="false">F257*G257</f>
        <v>7200</v>
      </c>
      <c r="J257" s="17" t="n">
        <f aca="false">F257*(G257-H257)</f>
        <v>2000</v>
      </c>
    </row>
    <row r="258" customFormat="false" ht="15" hidden="false" customHeight="false" outlineLevel="0" collapsed="false">
      <c r="A258" s="15" t="n">
        <v>46264</v>
      </c>
      <c r="B258" s="16" t="n">
        <f aca="false">MONTH(A258)</f>
        <v>8</v>
      </c>
      <c r="C258" s="16" t="s">
        <v>42</v>
      </c>
      <c r="D258" s="16" t="s">
        <v>32</v>
      </c>
      <c r="E258" s="16" t="s">
        <v>50</v>
      </c>
      <c r="F258" s="16" t="n">
        <v>9</v>
      </c>
      <c r="G258" s="17" t="n">
        <v>3800</v>
      </c>
      <c r="H258" s="17" t="n">
        <v>3000</v>
      </c>
      <c r="I258" s="17" t="n">
        <f aca="false">F258*G258</f>
        <v>34200</v>
      </c>
      <c r="J258" s="17" t="n">
        <f aca="false">F258*(G258-H258)</f>
        <v>7200</v>
      </c>
    </row>
    <row r="259" customFormat="false" ht="15" hidden="false" customHeight="false" outlineLevel="0" collapsed="false">
      <c r="A259" s="15" t="n">
        <v>46146</v>
      </c>
      <c r="B259" s="16" t="n">
        <f aca="false">MONTH(A259)</f>
        <v>5</v>
      </c>
      <c r="C259" s="16" t="s">
        <v>43</v>
      </c>
      <c r="D259" s="16" t="s">
        <v>36</v>
      </c>
      <c r="E259" s="16" t="s">
        <v>51</v>
      </c>
      <c r="F259" s="16" t="n">
        <v>5</v>
      </c>
      <c r="G259" s="17" t="n">
        <v>700</v>
      </c>
      <c r="H259" s="17" t="n">
        <v>480</v>
      </c>
      <c r="I259" s="17" t="n">
        <f aca="false">F259*G259</f>
        <v>3500</v>
      </c>
      <c r="J259" s="17" t="n">
        <f aca="false">F259*(G259-H259)</f>
        <v>1100</v>
      </c>
    </row>
    <row r="260" customFormat="false" ht="15" hidden="false" customHeight="false" outlineLevel="0" collapsed="false">
      <c r="A260" s="15" t="n">
        <v>46122</v>
      </c>
      <c r="B260" s="16" t="n">
        <f aca="false">MONTH(A260)</f>
        <v>4</v>
      </c>
      <c r="C260" s="16" t="s">
        <v>42</v>
      </c>
      <c r="D260" s="16" t="s">
        <v>36</v>
      </c>
      <c r="E260" s="16" t="s">
        <v>51</v>
      </c>
      <c r="F260" s="16" t="n">
        <v>6</v>
      </c>
      <c r="G260" s="17" t="n">
        <v>700</v>
      </c>
      <c r="H260" s="17" t="n">
        <v>480</v>
      </c>
      <c r="I260" s="17" t="n">
        <f aca="false">F260*G260</f>
        <v>4200</v>
      </c>
      <c r="J260" s="17" t="n">
        <f aca="false">F260*(G260-H260)</f>
        <v>1320</v>
      </c>
    </row>
    <row r="261" customFormat="false" ht="15" hidden="false" customHeight="false" outlineLevel="0" collapsed="false">
      <c r="A261" s="15" t="n">
        <v>46324</v>
      </c>
      <c r="B261" s="16" t="n">
        <f aca="false">MONTH(A261)</f>
        <v>10</v>
      </c>
      <c r="C261" s="16" t="s">
        <v>43</v>
      </c>
      <c r="D261" s="16" t="s">
        <v>34</v>
      </c>
      <c r="E261" s="16" t="s">
        <v>51</v>
      </c>
      <c r="F261" s="16" t="n">
        <v>9</v>
      </c>
      <c r="G261" s="17" t="n">
        <v>250</v>
      </c>
      <c r="H261" s="17" t="n">
        <v>140</v>
      </c>
      <c r="I261" s="17" t="n">
        <f aca="false">F261*G261</f>
        <v>2250</v>
      </c>
      <c r="J261" s="17" t="n">
        <f aca="false">F261*(G261-H261)</f>
        <v>990</v>
      </c>
    </row>
    <row r="262" customFormat="false" ht="15" hidden="false" customHeight="false" outlineLevel="0" collapsed="false">
      <c r="A262" s="15" t="n">
        <v>46140</v>
      </c>
      <c r="B262" s="16" t="n">
        <f aca="false">MONTH(A262)</f>
        <v>4</v>
      </c>
      <c r="C262" s="16" t="s">
        <v>42</v>
      </c>
      <c r="D262" s="16" t="s">
        <v>33</v>
      </c>
      <c r="E262" s="16" t="s">
        <v>51</v>
      </c>
      <c r="F262" s="16" t="n">
        <v>4</v>
      </c>
      <c r="G262" s="17" t="n">
        <v>450</v>
      </c>
      <c r="H262" s="17" t="n">
        <v>280</v>
      </c>
      <c r="I262" s="17" t="n">
        <f aca="false">F262*G262</f>
        <v>1800</v>
      </c>
      <c r="J262" s="17" t="n">
        <f aca="false">F262*(G262-H262)</f>
        <v>680</v>
      </c>
    </row>
    <row r="263" customFormat="false" ht="15" hidden="false" customHeight="false" outlineLevel="0" collapsed="false">
      <c r="A263" s="15" t="n">
        <v>46114</v>
      </c>
      <c r="B263" s="16" t="n">
        <f aca="false">MONTH(A263)</f>
        <v>4</v>
      </c>
      <c r="C263" s="16" t="s">
        <v>41</v>
      </c>
      <c r="D263" s="16" t="s">
        <v>35</v>
      </c>
      <c r="E263" s="16" t="s">
        <v>52</v>
      </c>
      <c r="F263" s="16" t="n">
        <v>2</v>
      </c>
      <c r="G263" s="17" t="n">
        <v>900</v>
      </c>
      <c r="H263" s="17" t="n">
        <v>650</v>
      </c>
      <c r="I263" s="17" t="n">
        <f aca="false">F263*G263</f>
        <v>1800</v>
      </c>
      <c r="J263" s="17" t="n">
        <f aca="false">F263*(G263-H263)</f>
        <v>500</v>
      </c>
    </row>
    <row r="264" customFormat="false" ht="15" hidden="false" customHeight="false" outlineLevel="0" collapsed="false">
      <c r="A264" s="15" t="n">
        <v>46117</v>
      </c>
      <c r="B264" s="16" t="n">
        <f aca="false">MONTH(A264)</f>
        <v>4</v>
      </c>
      <c r="C264" s="16" t="s">
        <v>42</v>
      </c>
      <c r="D264" s="16" t="s">
        <v>35</v>
      </c>
      <c r="E264" s="16" t="s">
        <v>52</v>
      </c>
      <c r="F264" s="16" t="n">
        <v>8</v>
      </c>
      <c r="G264" s="17" t="n">
        <v>900</v>
      </c>
      <c r="H264" s="17" t="n">
        <v>650</v>
      </c>
      <c r="I264" s="17" t="n">
        <f aca="false">F264*G264</f>
        <v>7200</v>
      </c>
      <c r="J264" s="17" t="n">
        <f aca="false">F264*(G264-H264)</f>
        <v>2000</v>
      </c>
    </row>
    <row r="265" customFormat="false" ht="15" hidden="false" customHeight="false" outlineLevel="0" collapsed="false">
      <c r="A265" s="15" t="n">
        <v>46328</v>
      </c>
      <c r="B265" s="16" t="n">
        <f aca="false">MONTH(A265)</f>
        <v>11</v>
      </c>
      <c r="C265" s="16" t="s">
        <v>42</v>
      </c>
      <c r="D265" s="16" t="s">
        <v>33</v>
      </c>
      <c r="E265" s="16" t="s">
        <v>51</v>
      </c>
      <c r="F265" s="16" t="n">
        <v>4</v>
      </c>
      <c r="G265" s="17" t="n">
        <v>450</v>
      </c>
      <c r="H265" s="17" t="n">
        <v>280</v>
      </c>
      <c r="I265" s="17" t="n">
        <f aca="false">F265*G265</f>
        <v>1800</v>
      </c>
      <c r="J265" s="17" t="n">
        <f aca="false">F265*(G265-H265)</f>
        <v>680</v>
      </c>
    </row>
    <row r="266" customFormat="false" ht="15" hidden="false" customHeight="false" outlineLevel="0" collapsed="false">
      <c r="A266" s="15" t="n">
        <v>46154</v>
      </c>
      <c r="B266" s="16" t="n">
        <f aca="false">MONTH(A266)</f>
        <v>5</v>
      </c>
      <c r="C266" s="16" t="s">
        <v>40</v>
      </c>
      <c r="D266" s="16" t="s">
        <v>34</v>
      </c>
      <c r="E266" s="16" t="s">
        <v>51</v>
      </c>
      <c r="F266" s="16" t="n">
        <v>10</v>
      </c>
      <c r="G266" s="17" t="n">
        <v>250</v>
      </c>
      <c r="H266" s="17" t="n">
        <v>140</v>
      </c>
      <c r="I266" s="17" t="n">
        <f aca="false">F266*G266</f>
        <v>2500</v>
      </c>
      <c r="J266" s="17" t="n">
        <f aca="false">F266*(G266-H266)</f>
        <v>1100</v>
      </c>
    </row>
    <row r="267" customFormat="false" ht="15" hidden="false" customHeight="false" outlineLevel="0" collapsed="false">
      <c r="A267" s="15" t="n">
        <v>46344</v>
      </c>
      <c r="B267" s="16" t="n">
        <f aca="false">MONTH(A267)</f>
        <v>11</v>
      </c>
      <c r="C267" s="16" t="s">
        <v>40</v>
      </c>
      <c r="D267" s="16" t="s">
        <v>35</v>
      </c>
      <c r="E267" s="16" t="s">
        <v>52</v>
      </c>
      <c r="F267" s="16" t="n">
        <v>5</v>
      </c>
      <c r="G267" s="17" t="n">
        <v>900</v>
      </c>
      <c r="H267" s="17" t="n">
        <v>650</v>
      </c>
      <c r="I267" s="17" t="n">
        <f aca="false">F267*G267</f>
        <v>4500</v>
      </c>
      <c r="J267" s="17" t="n">
        <f aca="false">F267*(G267-H267)</f>
        <v>1250</v>
      </c>
    </row>
    <row r="268" customFormat="false" ht="15" hidden="false" customHeight="false" outlineLevel="0" collapsed="false">
      <c r="A268" s="15" t="n">
        <v>46055</v>
      </c>
      <c r="B268" s="16" t="n">
        <f aca="false">MONTH(A268)</f>
        <v>2</v>
      </c>
      <c r="C268" s="16" t="s">
        <v>41</v>
      </c>
      <c r="D268" s="16" t="s">
        <v>34</v>
      </c>
      <c r="E268" s="16" t="s">
        <v>51</v>
      </c>
      <c r="F268" s="16" t="n">
        <v>9</v>
      </c>
      <c r="G268" s="17" t="n">
        <v>250</v>
      </c>
      <c r="H268" s="17" t="n">
        <v>140</v>
      </c>
      <c r="I268" s="17" t="n">
        <f aca="false">F268*G268</f>
        <v>2250</v>
      </c>
      <c r="J268" s="17" t="n">
        <f aca="false">F268*(G268-H268)</f>
        <v>990</v>
      </c>
    </row>
    <row r="269" customFormat="false" ht="15" hidden="false" customHeight="false" outlineLevel="0" collapsed="false">
      <c r="A269" s="15" t="n">
        <v>46379</v>
      </c>
      <c r="B269" s="16" t="n">
        <f aca="false">MONTH(A269)</f>
        <v>12</v>
      </c>
      <c r="C269" s="16" t="s">
        <v>40</v>
      </c>
      <c r="D269" s="16" t="s">
        <v>31</v>
      </c>
      <c r="E269" s="16" t="s">
        <v>50</v>
      </c>
      <c r="F269" s="16" t="n">
        <v>9</v>
      </c>
      <c r="G269" s="17" t="n">
        <v>4200</v>
      </c>
      <c r="H269" s="17" t="n">
        <v>3300</v>
      </c>
      <c r="I269" s="17" t="n">
        <f aca="false">F269*G269</f>
        <v>37800</v>
      </c>
      <c r="J269" s="17" t="n">
        <f aca="false">F269*(G269-H269)</f>
        <v>8100</v>
      </c>
    </row>
    <row r="270" customFormat="false" ht="15" hidden="false" customHeight="false" outlineLevel="0" collapsed="false">
      <c r="A270" s="15" t="n">
        <v>46306</v>
      </c>
      <c r="B270" s="16" t="n">
        <f aca="false">MONTH(A270)</f>
        <v>10</v>
      </c>
      <c r="C270" s="16" t="s">
        <v>41</v>
      </c>
      <c r="D270" s="16" t="s">
        <v>36</v>
      </c>
      <c r="E270" s="16" t="s">
        <v>51</v>
      </c>
      <c r="F270" s="16" t="n">
        <v>11</v>
      </c>
      <c r="G270" s="17" t="n">
        <v>700</v>
      </c>
      <c r="H270" s="17" t="n">
        <v>480</v>
      </c>
      <c r="I270" s="17" t="n">
        <f aca="false">F270*G270</f>
        <v>7700</v>
      </c>
      <c r="J270" s="17" t="n">
        <f aca="false">F270*(G270-H270)</f>
        <v>2420</v>
      </c>
    </row>
    <row r="271" customFormat="false" ht="15" hidden="false" customHeight="false" outlineLevel="0" collapsed="false">
      <c r="A271" s="15" t="n">
        <v>46380</v>
      </c>
      <c r="B271" s="16" t="n">
        <f aca="false">MONTH(A271)</f>
        <v>12</v>
      </c>
      <c r="C271" s="16" t="s">
        <v>43</v>
      </c>
      <c r="D271" s="16" t="s">
        <v>33</v>
      </c>
      <c r="E271" s="16" t="s">
        <v>51</v>
      </c>
      <c r="F271" s="16" t="n">
        <v>11</v>
      </c>
      <c r="G271" s="17" t="n">
        <v>450</v>
      </c>
      <c r="H271" s="17" t="n">
        <v>280</v>
      </c>
      <c r="I271" s="17" t="n">
        <f aca="false">F271*G271</f>
        <v>4950</v>
      </c>
      <c r="J271" s="17" t="n">
        <f aca="false">F271*(G271-H271)</f>
        <v>1870</v>
      </c>
    </row>
    <row r="272" customFormat="false" ht="15" hidden="false" customHeight="false" outlineLevel="0" collapsed="false">
      <c r="A272" s="15" t="n">
        <v>46368</v>
      </c>
      <c r="B272" s="16" t="n">
        <f aca="false">MONTH(A272)</f>
        <v>12</v>
      </c>
      <c r="C272" s="16" t="s">
        <v>43</v>
      </c>
      <c r="D272" s="16" t="s">
        <v>36</v>
      </c>
      <c r="E272" s="16" t="s">
        <v>51</v>
      </c>
      <c r="F272" s="16" t="n">
        <v>5</v>
      </c>
      <c r="G272" s="17" t="n">
        <v>700</v>
      </c>
      <c r="H272" s="17" t="n">
        <v>480</v>
      </c>
      <c r="I272" s="17" t="n">
        <f aca="false">F272*G272</f>
        <v>3500</v>
      </c>
      <c r="J272" s="17" t="n">
        <f aca="false">F272*(G272-H272)</f>
        <v>1100</v>
      </c>
    </row>
    <row r="273" customFormat="false" ht="15" hidden="false" customHeight="false" outlineLevel="0" collapsed="false">
      <c r="A273" s="15" t="n">
        <v>46377</v>
      </c>
      <c r="B273" s="16" t="n">
        <f aca="false">MONTH(A273)</f>
        <v>12</v>
      </c>
      <c r="C273" s="16" t="s">
        <v>41</v>
      </c>
      <c r="D273" s="16" t="s">
        <v>34</v>
      </c>
      <c r="E273" s="16" t="s">
        <v>51</v>
      </c>
      <c r="F273" s="16" t="n">
        <v>7</v>
      </c>
      <c r="G273" s="17" t="n">
        <v>250</v>
      </c>
      <c r="H273" s="17" t="n">
        <v>140</v>
      </c>
      <c r="I273" s="17" t="n">
        <f aca="false">F273*G273</f>
        <v>1750</v>
      </c>
      <c r="J273" s="17" t="n">
        <f aca="false">F273*(G273-H273)</f>
        <v>770</v>
      </c>
    </row>
    <row r="274" customFormat="false" ht="15" hidden="false" customHeight="false" outlineLevel="0" collapsed="false">
      <c r="A274" s="15" t="n">
        <v>46030</v>
      </c>
      <c r="B274" s="16" t="n">
        <f aca="false">MONTH(A274)</f>
        <v>1</v>
      </c>
      <c r="C274" s="16" t="s">
        <v>42</v>
      </c>
      <c r="D274" s="16" t="s">
        <v>31</v>
      </c>
      <c r="E274" s="16" t="s">
        <v>50</v>
      </c>
      <c r="F274" s="16" t="n">
        <v>7</v>
      </c>
      <c r="G274" s="17" t="n">
        <v>4200</v>
      </c>
      <c r="H274" s="17" t="n">
        <v>3300</v>
      </c>
      <c r="I274" s="17" t="n">
        <f aca="false">F274*G274</f>
        <v>29400</v>
      </c>
      <c r="J274" s="17" t="n">
        <f aca="false">F274*(G274-H274)</f>
        <v>6300</v>
      </c>
    </row>
    <row r="275" customFormat="false" ht="15" hidden="false" customHeight="false" outlineLevel="0" collapsed="false">
      <c r="A275" s="15" t="n">
        <v>46123</v>
      </c>
      <c r="B275" s="16" t="n">
        <f aca="false">MONTH(A275)</f>
        <v>4</v>
      </c>
      <c r="C275" s="16" t="s">
        <v>42</v>
      </c>
      <c r="D275" s="16" t="s">
        <v>33</v>
      </c>
      <c r="E275" s="16" t="s">
        <v>51</v>
      </c>
      <c r="F275" s="16" t="n">
        <v>12</v>
      </c>
      <c r="G275" s="17" t="n">
        <v>450</v>
      </c>
      <c r="H275" s="17" t="n">
        <v>280</v>
      </c>
      <c r="I275" s="17" t="n">
        <f aca="false">F275*G275</f>
        <v>5400</v>
      </c>
      <c r="J275" s="17" t="n">
        <f aca="false">F275*(G275-H275)</f>
        <v>2040</v>
      </c>
    </row>
    <row r="276" customFormat="false" ht="15" hidden="false" customHeight="false" outlineLevel="0" collapsed="false">
      <c r="A276" s="15" t="n">
        <v>46363</v>
      </c>
      <c r="B276" s="16" t="n">
        <f aca="false">MONTH(A276)</f>
        <v>12</v>
      </c>
      <c r="C276" s="16" t="s">
        <v>43</v>
      </c>
      <c r="D276" s="16" t="s">
        <v>35</v>
      </c>
      <c r="E276" s="16" t="s">
        <v>52</v>
      </c>
      <c r="F276" s="16" t="n">
        <v>8</v>
      </c>
      <c r="G276" s="17" t="n">
        <v>900</v>
      </c>
      <c r="H276" s="17" t="n">
        <v>650</v>
      </c>
      <c r="I276" s="17" t="n">
        <f aca="false">F276*G276</f>
        <v>7200</v>
      </c>
      <c r="J276" s="17" t="n">
        <f aca="false">F276*(G276-H276)</f>
        <v>2000</v>
      </c>
    </row>
    <row r="277" customFormat="false" ht="15" hidden="false" customHeight="false" outlineLevel="0" collapsed="false">
      <c r="A277" s="15" t="n">
        <v>46323</v>
      </c>
      <c r="B277" s="16" t="n">
        <f aca="false">MONTH(A277)</f>
        <v>10</v>
      </c>
      <c r="C277" s="16" t="s">
        <v>41</v>
      </c>
      <c r="D277" s="16" t="s">
        <v>32</v>
      </c>
      <c r="E277" s="16" t="s">
        <v>50</v>
      </c>
      <c r="F277" s="16" t="n">
        <v>1</v>
      </c>
      <c r="G277" s="17" t="n">
        <v>3800</v>
      </c>
      <c r="H277" s="17" t="n">
        <v>3000</v>
      </c>
      <c r="I277" s="17" t="n">
        <f aca="false">F277*G277</f>
        <v>3800</v>
      </c>
      <c r="J277" s="17" t="n">
        <f aca="false">F277*(G277-H277)</f>
        <v>800</v>
      </c>
    </row>
    <row r="278" customFormat="false" ht="15" hidden="false" customHeight="false" outlineLevel="0" collapsed="false">
      <c r="A278" s="15" t="n">
        <v>46208</v>
      </c>
      <c r="B278" s="16" t="n">
        <f aca="false">MONTH(A278)</f>
        <v>7</v>
      </c>
      <c r="C278" s="16" t="s">
        <v>42</v>
      </c>
      <c r="D278" s="16" t="s">
        <v>35</v>
      </c>
      <c r="E278" s="16" t="s">
        <v>52</v>
      </c>
      <c r="F278" s="16" t="n">
        <v>6</v>
      </c>
      <c r="G278" s="17" t="n">
        <v>900</v>
      </c>
      <c r="H278" s="17" t="n">
        <v>650</v>
      </c>
      <c r="I278" s="17" t="n">
        <f aca="false">F278*G278</f>
        <v>5400</v>
      </c>
      <c r="J278" s="17" t="n">
        <f aca="false">F278*(G278-H278)</f>
        <v>1500</v>
      </c>
    </row>
    <row r="279" customFormat="false" ht="15" hidden="false" customHeight="false" outlineLevel="0" collapsed="false">
      <c r="A279" s="15" t="n">
        <v>46294</v>
      </c>
      <c r="B279" s="16" t="n">
        <f aca="false">MONTH(A279)</f>
        <v>9</v>
      </c>
      <c r="C279" s="16" t="s">
        <v>43</v>
      </c>
      <c r="D279" s="16" t="s">
        <v>32</v>
      </c>
      <c r="E279" s="16" t="s">
        <v>50</v>
      </c>
      <c r="F279" s="16" t="n">
        <v>9</v>
      </c>
      <c r="G279" s="17" t="n">
        <v>3800</v>
      </c>
      <c r="H279" s="17" t="n">
        <v>3000</v>
      </c>
      <c r="I279" s="17" t="n">
        <f aca="false">F279*G279</f>
        <v>34200</v>
      </c>
      <c r="J279" s="17" t="n">
        <f aca="false">F279*(G279-H279)</f>
        <v>7200</v>
      </c>
    </row>
    <row r="280" customFormat="false" ht="15" hidden="false" customHeight="false" outlineLevel="0" collapsed="false">
      <c r="A280" s="15" t="n">
        <v>46158</v>
      </c>
      <c r="B280" s="16" t="n">
        <f aca="false">MONTH(A280)</f>
        <v>5</v>
      </c>
      <c r="C280" s="16" t="s">
        <v>41</v>
      </c>
      <c r="D280" s="16" t="s">
        <v>30</v>
      </c>
      <c r="E280" s="16" t="s">
        <v>50</v>
      </c>
      <c r="F280" s="16" t="n">
        <v>4</v>
      </c>
      <c r="G280" s="17" t="n">
        <v>18500</v>
      </c>
      <c r="H280" s="17" t="n">
        <v>15000</v>
      </c>
      <c r="I280" s="17" t="n">
        <f aca="false">F280*G280</f>
        <v>74000</v>
      </c>
      <c r="J280" s="17" t="n">
        <f aca="false">F280*(G280-H280)</f>
        <v>14000</v>
      </c>
    </row>
    <row r="281" customFormat="false" ht="15" hidden="false" customHeight="false" outlineLevel="0" collapsed="false">
      <c r="A281" s="15" t="n">
        <v>46118</v>
      </c>
      <c r="B281" s="16" t="n">
        <f aca="false">MONTH(A281)</f>
        <v>4</v>
      </c>
      <c r="C281" s="16" t="s">
        <v>40</v>
      </c>
      <c r="D281" s="16" t="s">
        <v>36</v>
      </c>
      <c r="E281" s="16" t="s">
        <v>51</v>
      </c>
      <c r="F281" s="16" t="n">
        <v>6</v>
      </c>
      <c r="G281" s="17" t="n">
        <v>700</v>
      </c>
      <c r="H281" s="17" t="n">
        <v>480</v>
      </c>
      <c r="I281" s="17" t="n">
        <f aca="false">F281*G281</f>
        <v>4200</v>
      </c>
      <c r="J281" s="17" t="n">
        <f aca="false">F281*(G281-H281)</f>
        <v>1320</v>
      </c>
    </row>
    <row r="282" customFormat="false" ht="15" hidden="false" customHeight="false" outlineLevel="0" collapsed="false">
      <c r="A282" s="15" t="n">
        <v>46138</v>
      </c>
      <c r="B282" s="16" t="n">
        <f aca="false">MONTH(A282)</f>
        <v>4</v>
      </c>
      <c r="C282" s="16" t="s">
        <v>41</v>
      </c>
      <c r="D282" s="16" t="s">
        <v>35</v>
      </c>
      <c r="E282" s="16" t="s">
        <v>52</v>
      </c>
      <c r="F282" s="16" t="n">
        <v>10</v>
      </c>
      <c r="G282" s="17" t="n">
        <v>900</v>
      </c>
      <c r="H282" s="17" t="n">
        <v>650</v>
      </c>
      <c r="I282" s="17" t="n">
        <f aca="false">F282*G282</f>
        <v>9000</v>
      </c>
      <c r="J282" s="17" t="n">
        <f aca="false">F282*(G282-H282)</f>
        <v>2500</v>
      </c>
    </row>
    <row r="283" customFormat="false" ht="15" hidden="false" customHeight="false" outlineLevel="0" collapsed="false">
      <c r="A283" s="15" t="n">
        <v>46184</v>
      </c>
      <c r="B283" s="16" t="n">
        <f aca="false">MONTH(A283)</f>
        <v>6</v>
      </c>
      <c r="C283" s="16" t="s">
        <v>40</v>
      </c>
      <c r="D283" s="16" t="s">
        <v>31</v>
      </c>
      <c r="E283" s="16" t="s">
        <v>50</v>
      </c>
      <c r="F283" s="16" t="n">
        <v>1</v>
      </c>
      <c r="G283" s="17" t="n">
        <v>4200</v>
      </c>
      <c r="H283" s="17" t="n">
        <v>3300</v>
      </c>
      <c r="I283" s="17" t="n">
        <f aca="false">F283*G283</f>
        <v>4200</v>
      </c>
      <c r="J283" s="17" t="n">
        <f aca="false">F283*(G283-H283)</f>
        <v>900</v>
      </c>
    </row>
    <row r="284" customFormat="false" ht="15" hidden="false" customHeight="false" outlineLevel="0" collapsed="false">
      <c r="A284" s="15" t="n">
        <v>46367</v>
      </c>
      <c r="B284" s="16" t="n">
        <f aca="false">MONTH(A284)</f>
        <v>12</v>
      </c>
      <c r="C284" s="16" t="s">
        <v>43</v>
      </c>
      <c r="D284" s="16" t="s">
        <v>30</v>
      </c>
      <c r="E284" s="16" t="s">
        <v>50</v>
      </c>
      <c r="F284" s="16" t="n">
        <v>10</v>
      </c>
      <c r="G284" s="17" t="n">
        <v>18500</v>
      </c>
      <c r="H284" s="17" t="n">
        <v>15000</v>
      </c>
      <c r="I284" s="17" t="n">
        <f aca="false">F284*G284</f>
        <v>185000</v>
      </c>
      <c r="J284" s="17" t="n">
        <f aca="false">F284*(G284-H284)</f>
        <v>35000</v>
      </c>
    </row>
    <row r="285" customFormat="false" ht="15" hidden="false" customHeight="false" outlineLevel="0" collapsed="false">
      <c r="A285" s="15" t="n">
        <v>46116</v>
      </c>
      <c r="B285" s="16" t="n">
        <f aca="false">MONTH(A285)</f>
        <v>4</v>
      </c>
      <c r="C285" s="16" t="s">
        <v>41</v>
      </c>
      <c r="D285" s="16" t="s">
        <v>34</v>
      </c>
      <c r="E285" s="16" t="s">
        <v>51</v>
      </c>
      <c r="F285" s="16" t="n">
        <v>7</v>
      </c>
      <c r="G285" s="17" t="n">
        <v>250</v>
      </c>
      <c r="H285" s="17" t="n">
        <v>140</v>
      </c>
      <c r="I285" s="17" t="n">
        <f aca="false">F285*G285</f>
        <v>1750</v>
      </c>
      <c r="J285" s="17" t="n">
        <f aca="false">F285*(G285-H285)</f>
        <v>770</v>
      </c>
    </row>
    <row r="286" customFormat="false" ht="15" hidden="false" customHeight="false" outlineLevel="0" collapsed="false">
      <c r="A286" s="15" t="n">
        <v>46177</v>
      </c>
      <c r="B286" s="16" t="n">
        <f aca="false">MONTH(A286)</f>
        <v>6</v>
      </c>
      <c r="C286" s="16" t="s">
        <v>43</v>
      </c>
      <c r="D286" s="16" t="s">
        <v>33</v>
      </c>
      <c r="E286" s="16" t="s">
        <v>51</v>
      </c>
      <c r="F286" s="16" t="n">
        <v>1</v>
      </c>
      <c r="G286" s="17" t="n">
        <v>450</v>
      </c>
      <c r="H286" s="17" t="n">
        <v>280</v>
      </c>
      <c r="I286" s="17" t="n">
        <f aca="false">F286*G286</f>
        <v>450</v>
      </c>
      <c r="J286" s="17" t="n">
        <f aca="false">F286*(G286-H286)</f>
        <v>170</v>
      </c>
    </row>
    <row r="287" customFormat="false" ht="15" hidden="false" customHeight="false" outlineLevel="0" collapsed="false">
      <c r="A287" s="15" t="n">
        <v>46097</v>
      </c>
      <c r="B287" s="16" t="n">
        <f aca="false">MONTH(A287)</f>
        <v>3</v>
      </c>
      <c r="C287" s="16" t="s">
        <v>41</v>
      </c>
      <c r="D287" s="16" t="s">
        <v>31</v>
      </c>
      <c r="E287" s="16" t="s">
        <v>50</v>
      </c>
      <c r="F287" s="16" t="n">
        <v>10</v>
      </c>
      <c r="G287" s="17" t="n">
        <v>4200</v>
      </c>
      <c r="H287" s="17" t="n">
        <v>3300</v>
      </c>
      <c r="I287" s="17" t="n">
        <f aca="false">F287*G287</f>
        <v>42000</v>
      </c>
      <c r="J287" s="17" t="n">
        <f aca="false">F287*(G287-H287)</f>
        <v>9000</v>
      </c>
    </row>
    <row r="288" customFormat="false" ht="15" hidden="false" customHeight="false" outlineLevel="0" collapsed="false">
      <c r="A288" s="15" t="n">
        <v>46352</v>
      </c>
      <c r="B288" s="16" t="n">
        <f aca="false">MONTH(A288)</f>
        <v>11</v>
      </c>
      <c r="C288" s="16" t="s">
        <v>43</v>
      </c>
      <c r="D288" s="16" t="s">
        <v>33</v>
      </c>
      <c r="E288" s="16" t="s">
        <v>51</v>
      </c>
      <c r="F288" s="16" t="n">
        <v>3</v>
      </c>
      <c r="G288" s="17" t="n">
        <v>450</v>
      </c>
      <c r="H288" s="17" t="n">
        <v>280</v>
      </c>
      <c r="I288" s="17" t="n">
        <f aca="false">F288*G288</f>
        <v>1350</v>
      </c>
      <c r="J288" s="17" t="n">
        <f aca="false">F288*(G288-H288)</f>
        <v>510</v>
      </c>
    </row>
    <row r="289" customFormat="false" ht="15" hidden="false" customHeight="false" outlineLevel="0" collapsed="false">
      <c r="A289" s="15" t="n">
        <v>46219</v>
      </c>
      <c r="B289" s="16" t="n">
        <f aca="false">MONTH(A289)</f>
        <v>7</v>
      </c>
      <c r="C289" s="16" t="s">
        <v>42</v>
      </c>
      <c r="D289" s="16" t="s">
        <v>33</v>
      </c>
      <c r="E289" s="16" t="s">
        <v>51</v>
      </c>
      <c r="F289" s="16" t="n">
        <v>2</v>
      </c>
      <c r="G289" s="17" t="n">
        <v>450</v>
      </c>
      <c r="H289" s="17" t="n">
        <v>280</v>
      </c>
      <c r="I289" s="17" t="n">
        <f aca="false">F289*G289</f>
        <v>900</v>
      </c>
      <c r="J289" s="17" t="n">
        <f aca="false">F289*(G289-H289)</f>
        <v>340</v>
      </c>
    </row>
    <row r="290" customFormat="false" ht="15" hidden="false" customHeight="false" outlineLevel="0" collapsed="false">
      <c r="A290" s="15" t="n">
        <v>46365</v>
      </c>
      <c r="B290" s="16" t="n">
        <f aca="false">MONTH(A290)</f>
        <v>12</v>
      </c>
      <c r="C290" s="16" t="s">
        <v>41</v>
      </c>
      <c r="D290" s="16" t="s">
        <v>35</v>
      </c>
      <c r="E290" s="16" t="s">
        <v>52</v>
      </c>
      <c r="F290" s="16" t="n">
        <v>11</v>
      </c>
      <c r="G290" s="17" t="n">
        <v>900</v>
      </c>
      <c r="H290" s="17" t="n">
        <v>650</v>
      </c>
      <c r="I290" s="17" t="n">
        <f aca="false">F290*G290</f>
        <v>9900</v>
      </c>
      <c r="J290" s="17" t="n">
        <f aca="false">F290*(G290-H290)</f>
        <v>2750</v>
      </c>
    </row>
    <row r="291" customFormat="false" ht="15" hidden="false" customHeight="false" outlineLevel="0" collapsed="false">
      <c r="A291" s="15" t="n">
        <v>46114</v>
      </c>
      <c r="B291" s="16" t="n">
        <f aca="false">MONTH(A291)</f>
        <v>4</v>
      </c>
      <c r="C291" s="16" t="s">
        <v>40</v>
      </c>
      <c r="D291" s="16" t="s">
        <v>34</v>
      </c>
      <c r="E291" s="16" t="s">
        <v>51</v>
      </c>
      <c r="F291" s="16" t="n">
        <v>2</v>
      </c>
      <c r="G291" s="17" t="n">
        <v>250</v>
      </c>
      <c r="H291" s="17" t="n">
        <v>140</v>
      </c>
      <c r="I291" s="17" t="n">
        <f aca="false">F291*G291</f>
        <v>500</v>
      </c>
      <c r="J291" s="17" t="n">
        <f aca="false">F291*(G291-H291)</f>
        <v>220</v>
      </c>
    </row>
    <row r="292" customFormat="false" ht="15" hidden="false" customHeight="false" outlineLevel="0" collapsed="false">
      <c r="A292" s="15" t="n">
        <v>46043</v>
      </c>
      <c r="B292" s="16" t="n">
        <f aca="false">MONTH(A292)</f>
        <v>1</v>
      </c>
      <c r="C292" s="16" t="s">
        <v>40</v>
      </c>
      <c r="D292" s="16" t="s">
        <v>32</v>
      </c>
      <c r="E292" s="16" t="s">
        <v>50</v>
      </c>
      <c r="F292" s="16" t="n">
        <v>7</v>
      </c>
      <c r="G292" s="17" t="n">
        <v>3800</v>
      </c>
      <c r="H292" s="17" t="n">
        <v>3000</v>
      </c>
      <c r="I292" s="17" t="n">
        <f aca="false">F292*G292</f>
        <v>26600</v>
      </c>
      <c r="J292" s="17" t="n">
        <f aca="false">F292*(G292-H292)</f>
        <v>5600</v>
      </c>
    </row>
    <row r="293" customFormat="false" ht="15" hidden="false" customHeight="false" outlineLevel="0" collapsed="false">
      <c r="A293" s="15" t="n">
        <v>46357</v>
      </c>
      <c r="B293" s="16" t="n">
        <f aca="false">MONTH(A293)</f>
        <v>12</v>
      </c>
      <c r="C293" s="16" t="s">
        <v>42</v>
      </c>
      <c r="D293" s="16" t="s">
        <v>36</v>
      </c>
      <c r="E293" s="16" t="s">
        <v>51</v>
      </c>
      <c r="F293" s="16" t="n">
        <v>9</v>
      </c>
      <c r="G293" s="17" t="n">
        <v>700</v>
      </c>
      <c r="H293" s="17" t="n">
        <v>480</v>
      </c>
      <c r="I293" s="17" t="n">
        <f aca="false">F293*G293</f>
        <v>6300</v>
      </c>
      <c r="J293" s="17" t="n">
        <f aca="false">F293*(G293-H293)</f>
        <v>1980</v>
      </c>
    </row>
    <row r="294" customFormat="false" ht="15" hidden="false" customHeight="false" outlineLevel="0" collapsed="false">
      <c r="A294" s="15" t="n">
        <v>46267</v>
      </c>
      <c r="B294" s="16" t="n">
        <f aca="false">MONTH(A294)</f>
        <v>9</v>
      </c>
      <c r="C294" s="16" t="s">
        <v>42</v>
      </c>
      <c r="D294" s="16" t="s">
        <v>33</v>
      </c>
      <c r="E294" s="16" t="s">
        <v>51</v>
      </c>
      <c r="F294" s="16" t="n">
        <v>2</v>
      </c>
      <c r="G294" s="17" t="n">
        <v>450</v>
      </c>
      <c r="H294" s="17" t="n">
        <v>280</v>
      </c>
      <c r="I294" s="17" t="n">
        <f aca="false">F294*G294</f>
        <v>900</v>
      </c>
      <c r="J294" s="17" t="n">
        <f aca="false">F294*(G294-H294)</f>
        <v>340</v>
      </c>
    </row>
    <row r="295" customFormat="false" ht="15" hidden="false" customHeight="false" outlineLevel="0" collapsed="false">
      <c r="A295" s="15" t="n">
        <v>46228</v>
      </c>
      <c r="B295" s="16" t="n">
        <f aca="false">MONTH(A295)</f>
        <v>7</v>
      </c>
      <c r="C295" s="16" t="s">
        <v>40</v>
      </c>
      <c r="D295" s="16" t="s">
        <v>36</v>
      </c>
      <c r="E295" s="16" t="s">
        <v>51</v>
      </c>
      <c r="F295" s="16" t="n">
        <v>9</v>
      </c>
      <c r="G295" s="17" t="n">
        <v>700</v>
      </c>
      <c r="H295" s="17" t="n">
        <v>480</v>
      </c>
      <c r="I295" s="17" t="n">
        <f aca="false">F295*G295</f>
        <v>6300</v>
      </c>
      <c r="J295" s="17" t="n">
        <f aca="false">F295*(G295-H295)</f>
        <v>1980</v>
      </c>
    </row>
    <row r="296" customFormat="false" ht="15" hidden="false" customHeight="false" outlineLevel="0" collapsed="false">
      <c r="A296" s="15" t="n">
        <v>46151</v>
      </c>
      <c r="B296" s="16" t="n">
        <f aca="false">MONTH(A296)</f>
        <v>5</v>
      </c>
      <c r="C296" s="16" t="s">
        <v>41</v>
      </c>
      <c r="D296" s="16" t="s">
        <v>34</v>
      </c>
      <c r="E296" s="16" t="s">
        <v>51</v>
      </c>
      <c r="F296" s="16" t="n">
        <v>6</v>
      </c>
      <c r="G296" s="17" t="n">
        <v>250</v>
      </c>
      <c r="H296" s="17" t="n">
        <v>140</v>
      </c>
      <c r="I296" s="17" t="n">
        <f aca="false">F296*G296</f>
        <v>1500</v>
      </c>
      <c r="J296" s="17" t="n">
        <f aca="false">F296*(G296-H296)</f>
        <v>660</v>
      </c>
    </row>
    <row r="297" customFormat="false" ht="15" hidden="false" customHeight="false" outlineLevel="0" collapsed="false">
      <c r="A297" s="15" t="n">
        <v>46278</v>
      </c>
      <c r="B297" s="16" t="n">
        <f aca="false">MONTH(A297)</f>
        <v>9</v>
      </c>
      <c r="C297" s="16" t="s">
        <v>40</v>
      </c>
      <c r="D297" s="16" t="s">
        <v>34</v>
      </c>
      <c r="E297" s="16" t="s">
        <v>51</v>
      </c>
      <c r="F297" s="16" t="n">
        <v>6</v>
      </c>
      <c r="G297" s="17" t="n">
        <v>250</v>
      </c>
      <c r="H297" s="17" t="n">
        <v>140</v>
      </c>
      <c r="I297" s="17" t="n">
        <f aca="false">F297*G297</f>
        <v>1500</v>
      </c>
      <c r="J297" s="17" t="n">
        <f aca="false">F297*(G297-H297)</f>
        <v>660</v>
      </c>
    </row>
    <row r="298" customFormat="false" ht="15" hidden="false" customHeight="false" outlineLevel="0" collapsed="false">
      <c r="A298" s="15" t="n">
        <v>46074</v>
      </c>
      <c r="B298" s="16" t="n">
        <f aca="false">MONTH(A298)</f>
        <v>2</v>
      </c>
      <c r="C298" s="16" t="s">
        <v>43</v>
      </c>
      <c r="D298" s="16" t="s">
        <v>36</v>
      </c>
      <c r="E298" s="16" t="s">
        <v>51</v>
      </c>
      <c r="F298" s="16" t="n">
        <v>7</v>
      </c>
      <c r="G298" s="17" t="n">
        <v>700</v>
      </c>
      <c r="H298" s="17" t="n">
        <v>480</v>
      </c>
      <c r="I298" s="17" t="n">
        <f aca="false">F298*G298</f>
        <v>4900</v>
      </c>
      <c r="J298" s="17" t="n">
        <f aca="false">F298*(G298-H298)</f>
        <v>1540</v>
      </c>
    </row>
    <row r="299" customFormat="false" ht="15" hidden="false" customHeight="false" outlineLevel="0" collapsed="false">
      <c r="A299" s="15" t="n">
        <v>46358</v>
      </c>
      <c r="B299" s="16" t="n">
        <f aca="false">MONTH(A299)</f>
        <v>12</v>
      </c>
      <c r="C299" s="16" t="s">
        <v>43</v>
      </c>
      <c r="D299" s="16" t="s">
        <v>33</v>
      </c>
      <c r="E299" s="16" t="s">
        <v>51</v>
      </c>
      <c r="F299" s="16" t="n">
        <v>8</v>
      </c>
      <c r="G299" s="17" t="n">
        <v>450</v>
      </c>
      <c r="H299" s="17" t="n">
        <v>280</v>
      </c>
      <c r="I299" s="17" t="n">
        <f aca="false">F299*G299</f>
        <v>3600</v>
      </c>
      <c r="J299" s="17" t="n">
        <f aca="false">F299*(G299-H299)</f>
        <v>1360</v>
      </c>
    </row>
    <row r="300" customFormat="false" ht="15" hidden="false" customHeight="false" outlineLevel="0" collapsed="false">
      <c r="A300" s="15" t="n">
        <v>46167</v>
      </c>
      <c r="B300" s="16" t="n">
        <f aca="false">MONTH(A300)</f>
        <v>5</v>
      </c>
      <c r="C300" s="16" t="s">
        <v>40</v>
      </c>
      <c r="D300" s="16" t="s">
        <v>36</v>
      </c>
      <c r="E300" s="16" t="s">
        <v>51</v>
      </c>
      <c r="F300" s="16" t="n">
        <v>7</v>
      </c>
      <c r="G300" s="17" t="n">
        <v>700</v>
      </c>
      <c r="H300" s="17" t="n">
        <v>480</v>
      </c>
      <c r="I300" s="17" t="n">
        <f aca="false">F300*G300</f>
        <v>4900</v>
      </c>
      <c r="J300" s="17" t="n">
        <f aca="false">F300*(G300-H300)</f>
        <v>1540</v>
      </c>
    </row>
    <row r="301" customFormat="false" ht="15" hidden="false" customHeight="false" outlineLevel="0" collapsed="false">
      <c r="A301" s="15" t="n">
        <v>46352</v>
      </c>
      <c r="B301" s="16" t="n">
        <f aca="false">MONTH(A301)</f>
        <v>11</v>
      </c>
      <c r="C301" s="16" t="s">
        <v>40</v>
      </c>
      <c r="D301" s="16" t="s">
        <v>31</v>
      </c>
      <c r="E301" s="16" t="s">
        <v>50</v>
      </c>
      <c r="F301" s="16" t="n">
        <v>12</v>
      </c>
      <c r="G301" s="17" t="n">
        <v>4200</v>
      </c>
      <c r="H301" s="17" t="n">
        <v>3300</v>
      </c>
      <c r="I301" s="17" t="n">
        <f aca="false">F301*G301</f>
        <v>50400</v>
      </c>
      <c r="J301" s="17" t="n">
        <f aca="false">F301*(G301-H301)</f>
        <v>10800</v>
      </c>
    </row>
    <row r="302" customFormat="false" ht="15" hidden="false" customHeight="false" outlineLevel="0" collapsed="false">
      <c r="A302" s="15" t="n">
        <v>46317</v>
      </c>
      <c r="B302" s="16" t="n">
        <f aca="false">MONTH(A302)</f>
        <v>10</v>
      </c>
      <c r="C302" s="16" t="s">
        <v>42</v>
      </c>
      <c r="D302" s="16" t="s">
        <v>35</v>
      </c>
      <c r="E302" s="16" t="s">
        <v>52</v>
      </c>
      <c r="F302" s="16" t="n">
        <v>4</v>
      </c>
      <c r="G302" s="17" t="n">
        <v>900</v>
      </c>
      <c r="H302" s="17" t="n">
        <v>650</v>
      </c>
      <c r="I302" s="17" t="n">
        <f aca="false">F302*G302</f>
        <v>3600</v>
      </c>
      <c r="J302" s="17" t="n">
        <f aca="false">F302*(G302-H302)</f>
        <v>1000</v>
      </c>
    </row>
    <row r="303" customFormat="false" ht="15" hidden="false" customHeight="false" outlineLevel="0" collapsed="false">
      <c r="A303" s="15" t="n">
        <v>46157</v>
      </c>
      <c r="B303" s="16" t="n">
        <f aca="false">MONTH(A303)</f>
        <v>5</v>
      </c>
      <c r="C303" s="16" t="s">
        <v>42</v>
      </c>
      <c r="D303" s="16" t="s">
        <v>33</v>
      </c>
      <c r="E303" s="16" t="s">
        <v>51</v>
      </c>
      <c r="F303" s="16" t="n">
        <v>10</v>
      </c>
      <c r="G303" s="17" t="n">
        <v>450</v>
      </c>
      <c r="H303" s="17" t="n">
        <v>280</v>
      </c>
      <c r="I303" s="17" t="n">
        <f aca="false">F303*G303</f>
        <v>4500</v>
      </c>
      <c r="J303" s="17" t="n">
        <f aca="false">F303*(G303-H303)</f>
        <v>1700</v>
      </c>
    </row>
    <row r="304" customFormat="false" ht="15" hidden="false" customHeight="false" outlineLevel="0" collapsed="false">
      <c r="A304" s="15" t="n">
        <v>46309</v>
      </c>
      <c r="B304" s="16" t="n">
        <f aca="false">MONTH(A304)</f>
        <v>10</v>
      </c>
      <c r="C304" s="16" t="s">
        <v>43</v>
      </c>
      <c r="D304" s="16" t="s">
        <v>36</v>
      </c>
      <c r="E304" s="16" t="s">
        <v>51</v>
      </c>
      <c r="F304" s="16" t="n">
        <v>4</v>
      </c>
      <c r="G304" s="17" t="n">
        <v>700</v>
      </c>
      <c r="H304" s="17" t="n">
        <v>480</v>
      </c>
      <c r="I304" s="17" t="n">
        <f aca="false">F304*G304</f>
        <v>2800</v>
      </c>
      <c r="J304" s="17" t="n">
        <f aca="false">F304*(G304-H304)</f>
        <v>880</v>
      </c>
    </row>
    <row r="305" customFormat="false" ht="15" hidden="false" customHeight="false" outlineLevel="0" collapsed="false">
      <c r="A305" s="15" t="n">
        <v>46245</v>
      </c>
      <c r="B305" s="16" t="n">
        <f aca="false">MONTH(A305)</f>
        <v>8</v>
      </c>
      <c r="C305" s="16" t="s">
        <v>43</v>
      </c>
      <c r="D305" s="16" t="s">
        <v>36</v>
      </c>
      <c r="E305" s="16" t="s">
        <v>51</v>
      </c>
      <c r="F305" s="16" t="n">
        <v>6</v>
      </c>
      <c r="G305" s="17" t="n">
        <v>700</v>
      </c>
      <c r="H305" s="17" t="n">
        <v>480</v>
      </c>
      <c r="I305" s="17" t="n">
        <f aca="false">F305*G305</f>
        <v>4200</v>
      </c>
      <c r="J305" s="17" t="n">
        <f aca="false">F305*(G305-H305)</f>
        <v>1320</v>
      </c>
    </row>
    <row r="306" customFormat="false" ht="15" hidden="false" customHeight="false" outlineLevel="0" collapsed="false">
      <c r="A306" s="15" t="n">
        <v>46120</v>
      </c>
      <c r="B306" s="16" t="n">
        <f aca="false">MONTH(A306)</f>
        <v>4</v>
      </c>
      <c r="C306" s="16" t="s">
        <v>42</v>
      </c>
      <c r="D306" s="16" t="s">
        <v>36</v>
      </c>
      <c r="E306" s="16" t="s">
        <v>51</v>
      </c>
      <c r="F306" s="16" t="n">
        <v>6</v>
      </c>
      <c r="G306" s="17" t="n">
        <v>700</v>
      </c>
      <c r="H306" s="17" t="n">
        <v>480</v>
      </c>
      <c r="I306" s="17" t="n">
        <f aca="false">F306*G306</f>
        <v>4200</v>
      </c>
      <c r="J306" s="17" t="n">
        <f aca="false">F306*(G306-H306)</f>
        <v>1320</v>
      </c>
    </row>
    <row r="307" customFormat="false" ht="15" hidden="false" customHeight="false" outlineLevel="0" collapsed="false">
      <c r="A307" s="15" t="n">
        <v>46168</v>
      </c>
      <c r="B307" s="16" t="n">
        <f aca="false">MONTH(A307)</f>
        <v>5</v>
      </c>
      <c r="C307" s="16" t="s">
        <v>42</v>
      </c>
      <c r="D307" s="16" t="s">
        <v>36</v>
      </c>
      <c r="E307" s="16" t="s">
        <v>51</v>
      </c>
      <c r="F307" s="16" t="n">
        <v>11</v>
      </c>
      <c r="G307" s="17" t="n">
        <v>700</v>
      </c>
      <c r="H307" s="17" t="n">
        <v>480</v>
      </c>
      <c r="I307" s="17" t="n">
        <f aca="false">F307*G307</f>
        <v>7700</v>
      </c>
      <c r="J307" s="17" t="n">
        <f aca="false">F307*(G307-H307)</f>
        <v>2420</v>
      </c>
    </row>
    <row r="308" customFormat="false" ht="15" hidden="false" customHeight="false" outlineLevel="0" collapsed="false">
      <c r="A308" s="15" t="n">
        <v>46036</v>
      </c>
      <c r="B308" s="16" t="n">
        <f aca="false">MONTH(A308)</f>
        <v>1</v>
      </c>
      <c r="C308" s="16" t="s">
        <v>40</v>
      </c>
      <c r="D308" s="16" t="s">
        <v>33</v>
      </c>
      <c r="E308" s="16" t="s">
        <v>51</v>
      </c>
      <c r="F308" s="16" t="n">
        <v>5</v>
      </c>
      <c r="G308" s="17" t="n">
        <v>450</v>
      </c>
      <c r="H308" s="17" t="n">
        <v>280</v>
      </c>
      <c r="I308" s="17" t="n">
        <f aca="false">F308*G308</f>
        <v>2250</v>
      </c>
      <c r="J308" s="17" t="n">
        <f aca="false">F308*(G308-H308)</f>
        <v>850</v>
      </c>
    </row>
    <row r="309" customFormat="false" ht="15" hidden="false" customHeight="false" outlineLevel="0" collapsed="false">
      <c r="A309" s="15" t="n">
        <v>46363</v>
      </c>
      <c r="B309" s="16" t="n">
        <f aca="false">MONTH(A309)</f>
        <v>12</v>
      </c>
      <c r="C309" s="16" t="s">
        <v>40</v>
      </c>
      <c r="D309" s="16" t="s">
        <v>30</v>
      </c>
      <c r="E309" s="16" t="s">
        <v>50</v>
      </c>
      <c r="F309" s="16" t="n">
        <v>8</v>
      </c>
      <c r="G309" s="17" t="n">
        <v>18500</v>
      </c>
      <c r="H309" s="17" t="n">
        <v>15000</v>
      </c>
      <c r="I309" s="17" t="n">
        <f aca="false">F309*G309</f>
        <v>148000</v>
      </c>
      <c r="J309" s="17" t="n">
        <f aca="false">F309*(G309-H309)</f>
        <v>28000</v>
      </c>
    </row>
    <row r="310" customFormat="false" ht="15" hidden="false" customHeight="false" outlineLevel="0" collapsed="false">
      <c r="A310" s="15" t="n">
        <v>46263</v>
      </c>
      <c r="B310" s="16" t="n">
        <f aca="false">MONTH(A310)</f>
        <v>8</v>
      </c>
      <c r="C310" s="16" t="s">
        <v>42</v>
      </c>
      <c r="D310" s="16" t="s">
        <v>35</v>
      </c>
      <c r="E310" s="16" t="s">
        <v>52</v>
      </c>
      <c r="F310" s="16" t="n">
        <v>7</v>
      </c>
      <c r="G310" s="17" t="n">
        <v>900</v>
      </c>
      <c r="H310" s="17" t="n">
        <v>650</v>
      </c>
      <c r="I310" s="17" t="n">
        <f aca="false">F310*G310</f>
        <v>6300</v>
      </c>
      <c r="J310" s="17" t="n">
        <f aca="false">F310*(G310-H310)</f>
        <v>1750</v>
      </c>
    </row>
    <row r="311" customFormat="false" ht="15" hidden="false" customHeight="false" outlineLevel="0" collapsed="false">
      <c r="A311" s="15" t="n">
        <v>46222</v>
      </c>
      <c r="B311" s="16" t="n">
        <f aca="false">MONTH(A311)</f>
        <v>7</v>
      </c>
      <c r="C311" s="16" t="s">
        <v>41</v>
      </c>
      <c r="D311" s="16" t="s">
        <v>32</v>
      </c>
      <c r="E311" s="16" t="s">
        <v>50</v>
      </c>
      <c r="F311" s="16" t="n">
        <v>9</v>
      </c>
      <c r="G311" s="17" t="n">
        <v>3800</v>
      </c>
      <c r="H311" s="17" t="n">
        <v>3000</v>
      </c>
      <c r="I311" s="17" t="n">
        <f aca="false">F311*G311</f>
        <v>34200</v>
      </c>
      <c r="J311" s="17" t="n">
        <f aca="false">F311*(G311-H311)</f>
        <v>7200</v>
      </c>
    </row>
    <row r="312" customFormat="false" ht="15" hidden="false" customHeight="false" outlineLevel="0" collapsed="false">
      <c r="A312" s="15" t="n">
        <v>46061</v>
      </c>
      <c r="B312" s="16" t="n">
        <f aca="false">MONTH(A312)</f>
        <v>2</v>
      </c>
      <c r="C312" s="16" t="s">
        <v>41</v>
      </c>
      <c r="D312" s="16" t="s">
        <v>32</v>
      </c>
      <c r="E312" s="16" t="s">
        <v>50</v>
      </c>
      <c r="F312" s="16" t="n">
        <v>3</v>
      </c>
      <c r="G312" s="17" t="n">
        <v>3800</v>
      </c>
      <c r="H312" s="17" t="n">
        <v>3000</v>
      </c>
      <c r="I312" s="17" t="n">
        <f aca="false">F312*G312</f>
        <v>11400</v>
      </c>
      <c r="J312" s="17" t="n">
        <f aca="false">F312*(G312-H312)</f>
        <v>2400</v>
      </c>
    </row>
    <row r="313" customFormat="false" ht="15" hidden="false" customHeight="false" outlineLevel="0" collapsed="false">
      <c r="A313" s="15" t="n">
        <v>46062</v>
      </c>
      <c r="B313" s="16" t="n">
        <f aca="false">MONTH(A313)</f>
        <v>2</v>
      </c>
      <c r="C313" s="16" t="s">
        <v>41</v>
      </c>
      <c r="D313" s="16" t="s">
        <v>34</v>
      </c>
      <c r="E313" s="16" t="s">
        <v>51</v>
      </c>
      <c r="F313" s="16" t="n">
        <v>6</v>
      </c>
      <c r="G313" s="17" t="n">
        <v>250</v>
      </c>
      <c r="H313" s="17" t="n">
        <v>140</v>
      </c>
      <c r="I313" s="17" t="n">
        <f aca="false">F313*G313</f>
        <v>1500</v>
      </c>
      <c r="J313" s="17" t="n">
        <f aca="false">F313*(G313-H313)</f>
        <v>660</v>
      </c>
    </row>
    <row r="314" customFormat="false" ht="15" hidden="false" customHeight="false" outlineLevel="0" collapsed="false">
      <c r="A314" s="15" t="n">
        <v>46230</v>
      </c>
      <c r="B314" s="16" t="n">
        <f aca="false">MONTH(A314)</f>
        <v>7</v>
      </c>
      <c r="C314" s="16" t="s">
        <v>43</v>
      </c>
      <c r="D314" s="16" t="s">
        <v>35</v>
      </c>
      <c r="E314" s="16" t="s">
        <v>52</v>
      </c>
      <c r="F314" s="16" t="n">
        <v>8</v>
      </c>
      <c r="G314" s="17" t="n">
        <v>900</v>
      </c>
      <c r="H314" s="17" t="n">
        <v>650</v>
      </c>
      <c r="I314" s="17" t="n">
        <f aca="false">F314*G314</f>
        <v>7200</v>
      </c>
      <c r="J314" s="17" t="n">
        <f aca="false">F314*(G314-H314)</f>
        <v>2000</v>
      </c>
    </row>
    <row r="315" customFormat="false" ht="15" hidden="false" customHeight="false" outlineLevel="0" collapsed="false">
      <c r="A315" s="15" t="n">
        <v>46287</v>
      </c>
      <c r="B315" s="16" t="n">
        <f aca="false">MONTH(A315)</f>
        <v>9</v>
      </c>
      <c r="C315" s="16" t="s">
        <v>41</v>
      </c>
      <c r="D315" s="16" t="s">
        <v>30</v>
      </c>
      <c r="E315" s="16" t="s">
        <v>50</v>
      </c>
      <c r="F315" s="16" t="n">
        <v>2</v>
      </c>
      <c r="G315" s="17" t="n">
        <v>18500</v>
      </c>
      <c r="H315" s="17" t="n">
        <v>15000</v>
      </c>
      <c r="I315" s="17" t="n">
        <f aca="false">F315*G315</f>
        <v>37000</v>
      </c>
      <c r="J315" s="17" t="n">
        <f aca="false">F315*(G315-H315)</f>
        <v>7000</v>
      </c>
    </row>
    <row r="316" customFormat="false" ht="15" hidden="false" customHeight="false" outlineLevel="0" collapsed="false">
      <c r="A316" s="15" t="n">
        <v>46339</v>
      </c>
      <c r="B316" s="16" t="n">
        <f aca="false">MONTH(A316)</f>
        <v>11</v>
      </c>
      <c r="C316" s="16" t="s">
        <v>43</v>
      </c>
      <c r="D316" s="16" t="s">
        <v>36</v>
      </c>
      <c r="E316" s="16" t="s">
        <v>51</v>
      </c>
      <c r="F316" s="16" t="n">
        <v>12</v>
      </c>
      <c r="G316" s="17" t="n">
        <v>700</v>
      </c>
      <c r="H316" s="17" t="n">
        <v>480</v>
      </c>
      <c r="I316" s="17" t="n">
        <f aca="false">F316*G316</f>
        <v>8400</v>
      </c>
      <c r="J316" s="17" t="n">
        <f aca="false">F316*(G316-H316)</f>
        <v>2640</v>
      </c>
    </row>
    <row r="317" customFormat="false" ht="15" hidden="false" customHeight="false" outlineLevel="0" collapsed="false">
      <c r="A317" s="15" t="n">
        <v>46120</v>
      </c>
      <c r="B317" s="16" t="n">
        <f aca="false">MONTH(A317)</f>
        <v>4</v>
      </c>
      <c r="C317" s="16" t="s">
        <v>43</v>
      </c>
      <c r="D317" s="16" t="s">
        <v>33</v>
      </c>
      <c r="E317" s="16" t="s">
        <v>51</v>
      </c>
      <c r="F317" s="16" t="n">
        <v>4</v>
      </c>
      <c r="G317" s="17" t="n">
        <v>450</v>
      </c>
      <c r="H317" s="17" t="n">
        <v>280</v>
      </c>
      <c r="I317" s="17" t="n">
        <f aca="false">F317*G317</f>
        <v>1800</v>
      </c>
      <c r="J317" s="17" t="n">
        <f aca="false">F317*(G317-H317)</f>
        <v>680</v>
      </c>
    </row>
    <row r="318" customFormat="false" ht="15" hidden="false" customHeight="false" outlineLevel="0" collapsed="false">
      <c r="A318" s="15" t="n">
        <v>46164</v>
      </c>
      <c r="B318" s="16" t="n">
        <f aca="false">MONTH(A318)</f>
        <v>5</v>
      </c>
      <c r="C318" s="16" t="s">
        <v>41</v>
      </c>
      <c r="D318" s="16" t="s">
        <v>31</v>
      </c>
      <c r="E318" s="16" t="s">
        <v>50</v>
      </c>
      <c r="F318" s="16" t="n">
        <v>1</v>
      </c>
      <c r="G318" s="17" t="n">
        <v>4200</v>
      </c>
      <c r="H318" s="17" t="n">
        <v>3300</v>
      </c>
      <c r="I318" s="17" t="n">
        <f aca="false">F318*G318</f>
        <v>4200</v>
      </c>
      <c r="J318" s="17" t="n">
        <f aca="false">F318*(G318-H318)</f>
        <v>900</v>
      </c>
    </row>
    <row r="319" customFormat="false" ht="15" hidden="false" customHeight="false" outlineLevel="0" collapsed="false">
      <c r="A319" s="15" t="n">
        <v>46355</v>
      </c>
      <c r="B319" s="16" t="n">
        <f aca="false">MONTH(A319)</f>
        <v>11</v>
      </c>
      <c r="C319" s="16" t="s">
        <v>41</v>
      </c>
      <c r="D319" s="16" t="s">
        <v>31</v>
      </c>
      <c r="E319" s="16" t="s">
        <v>50</v>
      </c>
      <c r="F319" s="16" t="n">
        <v>1</v>
      </c>
      <c r="G319" s="17" t="n">
        <v>4200</v>
      </c>
      <c r="H319" s="17" t="n">
        <v>3300</v>
      </c>
      <c r="I319" s="17" t="n">
        <f aca="false">F319*G319</f>
        <v>4200</v>
      </c>
      <c r="J319" s="17" t="n">
        <f aca="false">F319*(G319-H319)</f>
        <v>900</v>
      </c>
    </row>
    <row r="320" customFormat="false" ht="15" hidden="false" customHeight="false" outlineLevel="0" collapsed="false">
      <c r="A320" s="15" t="n">
        <v>46329</v>
      </c>
      <c r="B320" s="16" t="n">
        <f aca="false">MONTH(A320)</f>
        <v>11</v>
      </c>
      <c r="C320" s="16" t="s">
        <v>43</v>
      </c>
      <c r="D320" s="16" t="s">
        <v>32</v>
      </c>
      <c r="E320" s="16" t="s">
        <v>50</v>
      </c>
      <c r="F320" s="16" t="n">
        <v>10</v>
      </c>
      <c r="G320" s="17" t="n">
        <v>3800</v>
      </c>
      <c r="H320" s="17" t="n">
        <v>3000</v>
      </c>
      <c r="I320" s="17" t="n">
        <f aca="false">F320*G320</f>
        <v>38000</v>
      </c>
      <c r="J320" s="17" t="n">
        <f aca="false">F320*(G320-H320)</f>
        <v>8000</v>
      </c>
    </row>
    <row r="321" customFormat="false" ht="15" hidden="false" customHeight="false" outlineLevel="0" collapsed="false">
      <c r="A321" s="15" t="n">
        <v>46124</v>
      </c>
      <c r="B321" s="16" t="n">
        <f aca="false">MONTH(A321)</f>
        <v>4</v>
      </c>
      <c r="C321" s="16" t="s">
        <v>40</v>
      </c>
      <c r="D321" s="16" t="s">
        <v>35</v>
      </c>
      <c r="E321" s="16" t="s">
        <v>52</v>
      </c>
      <c r="F321" s="16" t="n">
        <v>7</v>
      </c>
      <c r="G321" s="17" t="n">
        <v>900</v>
      </c>
      <c r="H321" s="17" t="n">
        <v>650</v>
      </c>
      <c r="I321" s="17" t="n">
        <f aca="false">F321*G321</f>
        <v>6300</v>
      </c>
      <c r="J321" s="17" t="n">
        <f aca="false">F321*(G321-H321)</f>
        <v>1750</v>
      </c>
    </row>
    <row r="322" customFormat="false" ht="15" hidden="false" customHeight="false" outlineLevel="0" collapsed="false">
      <c r="A322" s="15" t="n">
        <v>46070</v>
      </c>
      <c r="B322" s="16" t="n">
        <f aca="false">MONTH(A322)</f>
        <v>2</v>
      </c>
      <c r="C322" s="16" t="s">
        <v>42</v>
      </c>
      <c r="D322" s="16" t="s">
        <v>32</v>
      </c>
      <c r="E322" s="16" t="s">
        <v>50</v>
      </c>
      <c r="F322" s="16" t="n">
        <v>1</v>
      </c>
      <c r="G322" s="17" t="n">
        <v>3800</v>
      </c>
      <c r="H322" s="17" t="n">
        <v>3000</v>
      </c>
      <c r="I322" s="17" t="n">
        <f aca="false">F322*G322</f>
        <v>3800</v>
      </c>
      <c r="J322" s="17" t="n">
        <f aca="false">F322*(G322-H322)</f>
        <v>800</v>
      </c>
    </row>
    <row r="323" customFormat="false" ht="15" hidden="false" customHeight="false" outlineLevel="0" collapsed="false">
      <c r="A323" s="15" t="n">
        <v>46148</v>
      </c>
      <c r="B323" s="16" t="n">
        <f aca="false">MONTH(A323)</f>
        <v>5</v>
      </c>
      <c r="C323" s="16" t="s">
        <v>43</v>
      </c>
      <c r="D323" s="16" t="s">
        <v>35</v>
      </c>
      <c r="E323" s="16" t="s">
        <v>52</v>
      </c>
      <c r="F323" s="16" t="n">
        <v>7</v>
      </c>
      <c r="G323" s="17" t="n">
        <v>900</v>
      </c>
      <c r="H323" s="17" t="n">
        <v>650</v>
      </c>
      <c r="I323" s="17" t="n">
        <f aca="false">F323*G323</f>
        <v>6300</v>
      </c>
      <c r="J323" s="17" t="n">
        <f aca="false">F323*(G323-H323)</f>
        <v>1750</v>
      </c>
    </row>
    <row r="324" customFormat="false" ht="15" hidden="false" customHeight="false" outlineLevel="0" collapsed="false">
      <c r="A324" s="15" t="n">
        <v>46199</v>
      </c>
      <c r="B324" s="16" t="n">
        <f aca="false">MONTH(A324)</f>
        <v>6</v>
      </c>
      <c r="C324" s="16" t="s">
        <v>40</v>
      </c>
      <c r="D324" s="16" t="s">
        <v>33</v>
      </c>
      <c r="E324" s="16" t="s">
        <v>51</v>
      </c>
      <c r="F324" s="16" t="n">
        <v>6</v>
      </c>
      <c r="G324" s="17" t="n">
        <v>450</v>
      </c>
      <c r="H324" s="17" t="n">
        <v>280</v>
      </c>
      <c r="I324" s="17" t="n">
        <f aca="false">F324*G324</f>
        <v>2700</v>
      </c>
      <c r="J324" s="17" t="n">
        <f aca="false">F324*(G324-H324)</f>
        <v>1020</v>
      </c>
    </row>
    <row r="325" customFormat="false" ht="15" hidden="false" customHeight="false" outlineLevel="0" collapsed="false">
      <c r="A325" s="15" t="n">
        <v>46357</v>
      </c>
      <c r="B325" s="16" t="n">
        <f aca="false">MONTH(A325)</f>
        <v>12</v>
      </c>
      <c r="C325" s="16" t="s">
        <v>42</v>
      </c>
      <c r="D325" s="16" t="s">
        <v>33</v>
      </c>
      <c r="E325" s="16" t="s">
        <v>51</v>
      </c>
      <c r="F325" s="16" t="n">
        <v>1</v>
      </c>
      <c r="G325" s="17" t="n">
        <v>450</v>
      </c>
      <c r="H325" s="17" t="n">
        <v>280</v>
      </c>
      <c r="I325" s="17" t="n">
        <f aca="false">F325*G325</f>
        <v>450</v>
      </c>
      <c r="J325" s="17" t="n">
        <f aca="false">F325*(G325-H325)</f>
        <v>170</v>
      </c>
    </row>
    <row r="326" customFormat="false" ht="15" hidden="false" customHeight="false" outlineLevel="0" collapsed="false">
      <c r="A326" s="15" t="n">
        <v>46299</v>
      </c>
      <c r="B326" s="16" t="n">
        <f aca="false">MONTH(A326)</f>
        <v>10</v>
      </c>
      <c r="C326" s="16" t="s">
        <v>41</v>
      </c>
      <c r="D326" s="16" t="s">
        <v>30</v>
      </c>
      <c r="E326" s="16" t="s">
        <v>50</v>
      </c>
      <c r="F326" s="16" t="n">
        <v>1</v>
      </c>
      <c r="G326" s="17" t="n">
        <v>18500</v>
      </c>
      <c r="H326" s="17" t="n">
        <v>15000</v>
      </c>
      <c r="I326" s="17" t="n">
        <f aca="false">F326*G326</f>
        <v>18500</v>
      </c>
      <c r="J326" s="17" t="n">
        <f aca="false">F326*(G326-H326)</f>
        <v>3500</v>
      </c>
    </row>
    <row r="327" customFormat="false" ht="15" hidden="false" customHeight="false" outlineLevel="0" collapsed="false">
      <c r="A327" s="15" t="n">
        <v>46305</v>
      </c>
      <c r="B327" s="16" t="n">
        <f aca="false">MONTH(A327)</f>
        <v>10</v>
      </c>
      <c r="C327" s="16" t="s">
        <v>43</v>
      </c>
      <c r="D327" s="16" t="s">
        <v>33</v>
      </c>
      <c r="E327" s="16" t="s">
        <v>51</v>
      </c>
      <c r="F327" s="16" t="n">
        <v>6</v>
      </c>
      <c r="G327" s="17" t="n">
        <v>450</v>
      </c>
      <c r="H327" s="17" t="n">
        <v>280</v>
      </c>
      <c r="I327" s="17" t="n">
        <f aca="false">F327*G327</f>
        <v>2700</v>
      </c>
      <c r="J327" s="17" t="n">
        <f aca="false">F327*(G327-H327)</f>
        <v>1020</v>
      </c>
    </row>
    <row r="328" customFormat="false" ht="15" hidden="false" customHeight="false" outlineLevel="0" collapsed="false">
      <c r="A328" s="15" t="n">
        <v>46260</v>
      </c>
      <c r="B328" s="16" t="n">
        <f aca="false">MONTH(A328)</f>
        <v>8</v>
      </c>
      <c r="C328" s="16" t="s">
        <v>40</v>
      </c>
      <c r="D328" s="16" t="s">
        <v>35</v>
      </c>
      <c r="E328" s="16" t="s">
        <v>52</v>
      </c>
      <c r="F328" s="16" t="n">
        <v>10</v>
      </c>
      <c r="G328" s="17" t="n">
        <v>900</v>
      </c>
      <c r="H328" s="17" t="n">
        <v>650</v>
      </c>
      <c r="I328" s="17" t="n">
        <f aca="false">F328*G328</f>
        <v>9000</v>
      </c>
      <c r="J328" s="17" t="n">
        <f aca="false">F328*(G328-H328)</f>
        <v>2500</v>
      </c>
    </row>
    <row r="329" customFormat="false" ht="15" hidden="false" customHeight="false" outlineLevel="0" collapsed="false">
      <c r="A329" s="15" t="n">
        <v>46161</v>
      </c>
      <c r="B329" s="16" t="n">
        <f aca="false">MONTH(A329)</f>
        <v>5</v>
      </c>
      <c r="C329" s="16" t="s">
        <v>40</v>
      </c>
      <c r="D329" s="16" t="s">
        <v>36</v>
      </c>
      <c r="E329" s="16" t="s">
        <v>51</v>
      </c>
      <c r="F329" s="16" t="n">
        <v>5</v>
      </c>
      <c r="G329" s="17" t="n">
        <v>700</v>
      </c>
      <c r="H329" s="17" t="n">
        <v>480</v>
      </c>
      <c r="I329" s="17" t="n">
        <f aca="false">F329*G329</f>
        <v>3500</v>
      </c>
      <c r="J329" s="17" t="n">
        <f aca="false">F329*(G329-H329)</f>
        <v>1100</v>
      </c>
    </row>
    <row r="330" customFormat="false" ht="15" hidden="false" customHeight="false" outlineLevel="0" collapsed="false">
      <c r="A330" s="15" t="n">
        <v>46185</v>
      </c>
      <c r="B330" s="16" t="n">
        <f aca="false">MONTH(A330)</f>
        <v>6</v>
      </c>
      <c r="C330" s="16" t="s">
        <v>42</v>
      </c>
      <c r="D330" s="16" t="s">
        <v>35</v>
      </c>
      <c r="E330" s="16" t="s">
        <v>52</v>
      </c>
      <c r="F330" s="16" t="n">
        <v>3</v>
      </c>
      <c r="G330" s="17" t="n">
        <v>900</v>
      </c>
      <c r="H330" s="17" t="n">
        <v>650</v>
      </c>
      <c r="I330" s="17" t="n">
        <f aca="false">F330*G330</f>
        <v>2700</v>
      </c>
      <c r="J330" s="17" t="n">
        <f aca="false">F330*(G330-H330)</f>
        <v>750</v>
      </c>
    </row>
    <row r="331" customFormat="false" ht="15" hidden="false" customHeight="false" outlineLevel="0" collapsed="false">
      <c r="A331" s="15" t="n">
        <v>46044</v>
      </c>
      <c r="B331" s="16" t="n">
        <f aca="false">MONTH(A331)</f>
        <v>1</v>
      </c>
      <c r="C331" s="16" t="s">
        <v>41</v>
      </c>
      <c r="D331" s="16" t="s">
        <v>35</v>
      </c>
      <c r="E331" s="16" t="s">
        <v>52</v>
      </c>
      <c r="F331" s="16" t="n">
        <v>10</v>
      </c>
      <c r="G331" s="17" t="n">
        <v>900</v>
      </c>
      <c r="H331" s="17" t="n">
        <v>650</v>
      </c>
      <c r="I331" s="17" t="n">
        <f aca="false">F331*G331</f>
        <v>9000</v>
      </c>
      <c r="J331" s="17" t="n">
        <f aca="false">F331*(G331-H331)</f>
        <v>2500</v>
      </c>
    </row>
    <row r="332" customFormat="false" ht="15" hidden="false" customHeight="false" outlineLevel="0" collapsed="false">
      <c r="A332" s="15" t="n">
        <v>46314</v>
      </c>
      <c r="B332" s="16" t="n">
        <f aca="false">MONTH(A332)</f>
        <v>10</v>
      </c>
      <c r="C332" s="16" t="s">
        <v>40</v>
      </c>
      <c r="D332" s="16" t="s">
        <v>31</v>
      </c>
      <c r="E332" s="16" t="s">
        <v>50</v>
      </c>
      <c r="F332" s="16" t="n">
        <v>5</v>
      </c>
      <c r="G332" s="17" t="n">
        <v>4200</v>
      </c>
      <c r="H332" s="17" t="n">
        <v>3300</v>
      </c>
      <c r="I332" s="17" t="n">
        <f aca="false">F332*G332</f>
        <v>21000</v>
      </c>
      <c r="J332" s="17" t="n">
        <f aca="false">F332*(G332-H332)</f>
        <v>4500</v>
      </c>
    </row>
    <row r="333" customFormat="false" ht="15" hidden="false" customHeight="false" outlineLevel="0" collapsed="false">
      <c r="A333" s="15" t="n">
        <v>46105</v>
      </c>
      <c r="B333" s="16" t="n">
        <f aca="false">MONTH(A333)</f>
        <v>3</v>
      </c>
      <c r="C333" s="16" t="s">
        <v>43</v>
      </c>
      <c r="D333" s="16" t="s">
        <v>34</v>
      </c>
      <c r="E333" s="16" t="s">
        <v>51</v>
      </c>
      <c r="F333" s="16" t="n">
        <v>10</v>
      </c>
      <c r="G333" s="17" t="n">
        <v>250</v>
      </c>
      <c r="H333" s="17" t="n">
        <v>140</v>
      </c>
      <c r="I333" s="17" t="n">
        <f aca="false">F333*G333</f>
        <v>2500</v>
      </c>
      <c r="J333" s="17" t="n">
        <f aca="false">F333*(G333-H333)</f>
        <v>1100</v>
      </c>
    </row>
    <row r="334" customFormat="false" ht="15" hidden="false" customHeight="false" outlineLevel="0" collapsed="false">
      <c r="A334" s="15" t="n">
        <v>46138</v>
      </c>
      <c r="B334" s="16" t="n">
        <f aca="false">MONTH(A334)</f>
        <v>4</v>
      </c>
      <c r="C334" s="16" t="s">
        <v>40</v>
      </c>
      <c r="D334" s="16" t="s">
        <v>34</v>
      </c>
      <c r="E334" s="16" t="s">
        <v>51</v>
      </c>
      <c r="F334" s="16" t="n">
        <v>2</v>
      </c>
      <c r="G334" s="17" t="n">
        <v>250</v>
      </c>
      <c r="H334" s="17" t="n">
        <v>140</v>
      </c>
      <c r="I334" s="17" t="n">
        <f aca="false">F334*G334</f>
        <v>500</v>
      </c>
      <c r="J334" s="17" t="n">
        <f aca="false">F334*(G334-H334)</f>
        <v>220</v>
      </c>
    </row>
    <row r="335" customFormat="false" ht="15" hidden="false" customHeight="false" outlineLevel="0" collapsed="false">
      <c r="A335" s="15" t="n">
        <v>46244</v>
      </c>
      <c r="B335" s="16" t="n">
        <f aca="false">MONTH(A335)</f>
        <v>8</v>
      </c>
      <c r="C335" s="16" t="s">
        <v>40</v>
      </c>
      <c r="D335" s="16" t="s">
        <v>32</v>
      </c>
      <c r="E335" s="16" t="s">
        <v>50</v>
      </c>
      <c r="F335" s="16" t="n">
        <v>9</v>
      </c>
      <c r="G335" s="17" t="n">
        <v>3800</v>
      </c>
      <c r="H335" s="17" t="n">
        <v>3000</v>
      </c>
      <c r="I335" s="17" t="n">
        <f aca="false">F335*G335</f>
        <v>34200</v>
      </c>
      <c r="J335" s="17" t="n">
        <f aca="false">F335*(G335-H335)</f>
        <v>7200</v>
      </c>
    </row>
    <row r="336" customFormat="false" ht="15" hidden="false" customHeight="false" outlineLevel="0" collapsed="false">
      <c r="A336" s="15" t="n">
        <v>46217</v>
      </c>
      <c r="B336" s="16" t="n">
        <f aca="false">MONTH(A336)</f>
        <v>7</v>
      </c>
      <c r="C336" s="16" t="s">
        <v>43</v>
      </c>
      <c r="D336" s="16" t="s">
        <v>32</v>
      </c>
      <c r="E336" s="16" t="s">
        <v>50</v>
      </c>
      <c r="F336" s="16" t="n">
        <v>8</v>
      </c>
      <c r="G336" s="17" t="n">
        <v>3800</v>
      </c>
      <c r="H336" s="17" t="n">
        <v>3000</v>
      </c>
      <c r="I336" s="17" t="n">
        <f aca="false">F336*G336</f>
        <v>30400</v>
      </c>
      <c r="J336" s="17" t="n">
        <f aca="false">F336*(G336-H336)</f>
        <v>6400</v>
      </c>
    </row>
    <row r="337" customFormat="false" ht="15" hidden="false" customHeight="false" outlineLevel="0" collapsed="false">
      <c r="A337" s="15" t="n">
        <v>46151</v>
      </c>
      <c r="B337" s="16" t="n">
        <f aca="false">MONTH(A337)</f>
        <v>5</v>
      </c>
      <c r="C337" s="16" t="s">
        <v>40</v>
      </c>
      <c r="D337" s="16" t="s">
        <v>36</v>
      </c>
      <c r="E337" s="16" t="s">
        <v>51</v>
      </c>
      <c r="F337" s="16" t="n">
        <v>8</v>
      </c>
      <c r="G337" s="17" t="n">
        <v>700</v>
      </c>
      <c r="H337" s="17" t="n">
        <v>480</v>
      </c>
      <c r="I337" s="17" t="n">
        <f aca="false">F337*G337</f>
        <v>5600</v>
      </c>
      <c r="J337" s="17" t="n">
        <f aca="false">F337*(G337-H337)</f>
        <v>1760</v>
      </c>
    </row>
    <row r="338" customFormat="false" ht="15" hidden="false" customHeight="false" outlineLevel="0" collapsed="false">
      <c r="A338" s="15" t="n">
        <v>46197</v>
      </c>
      <c r="B338" s="16" t="n">
        <f aca="false">MONTH(A338)</f>
        <v>6</v>
      </c>
      <c r="C338" s="16" t="s">
        <v>41</v>
      </c>
      <c r="D338" s="16" t="s">
        <v>35</v>
      </c>
      <c r="E338" s="16" t="s">
        <v>52</v>
      </c>
      <c r="F338" s="16" t="n">
        <v>9</v>
      </c>
      <c r="G338" s="17" t="n">
        <v>900</v>
      </c>
      <c r="H338" s="17" t="n">
        <v>650</v>
      </c>
      <c r="I338" s="17" t="n">
        <f aca="false">F338*G338</f>
        <v>8100</v>
      </c>
      <c r="J338" s="17" t="n">
        <f aca="false">F338*(G338-H338)</f>
        <v>2250</v>
      </c>
    </row>
    <row r="339" customFormat="false" ht="15" hidden="false" customHeight="false" outlineLevel="0" collapsed="false">
      <c r="A339" s="15" t="n">
        <v>46195</v>
      </c>
      <c r="B339" s="16" t="n">
        <f aca="false">MONTH(A339)</f>
        <v>6</v>
      </c>
      <c r="C339" s="16" t="s">
        <v>41</v>
      </c>
      <c r="D339" s="16" t="s">
        <v>35</v>
      </c>
      <c r="E339" s="16" t="s">
        <v>52</v>
      </c>
      <c r="F339" s="16" t="n">
        <v>1</v>
      </c>
      <c r="G339" s="17" t="n">
        <v>900</v>
      </c>
      <c r="H339" s="17" t="n">
        <v>650</v>
      </c>
      <c r="I339" s="17" t="n">
        <f aca="false">F339*G339</f>
        <v>900</v>
      </c>
      <c r="J339" s="17" t="n">
        <f aca="false">F339*(G339-H339)</f>
        <v>250</v>
      </c>
    </row>
    <row r="340" customFormat="false" ht="15" hidden="false" customHeight="false" outlineLevel="0" collapsed="false">
      <c r="A340" s="15" t="n">
        <v>46267</v>
      </c>
      <c r="B340" s="16" t="n">
        <f aca="false">MONTH(A340)</f>
        <v>9</v>
      </c>
      <c r="C340" s="16" t="s">
        <v>43</v>
      </c>
      <c r="D340" s="16" t="s">
        <v>31</v>
      </c>
      <c r="E340" s="16" t="s">
        <v>50</v>
      </c>
      <c r="F340" s="16" t="n">
        <v>10</v>
      </c>
      <c r="G340" s="17" t="n">
        <v>4200</v>
      </c>
      <c r="H340" s="17" t="n">
        <v>3300</v>
      </c>
      <c r="I340" s="17" t="n">
        <f aca="false">F340*G340</f>
        <v>42000</v>
      </c>
      <c r="J340" s="17" t="n">
        <f aca="false">F340*(G340-H340)</f>
        <v>9000</v>
      </c>
    </row>
    <row r="341" customFormat="false" ht="15" hidden="false" customHeight="false" outlineLevel="0" collapsed="false">
      <c r="A341" s="15" t="n">
        <v>46023</v>
      </c>
      <c r="B341" s="16" t="n">
        <f aca="false">MONTH(A341)</f>
        <v>1</v>
      </c>
      <c r="C341" s="16" t="s">
        <v>40</v>
      </c>
      <c r="D341" s="16" t="s">
        <v>31</v>
      </c>
      <c r="E341" s="16" t="s">
        <v>50</v>
      </c>
      <c r="F341" s="16" t="n">
        <v>8</v>
      </c>
      <c r="G341" s="17" t="n">
        <v>4200</v>
      </c>
      <c r="H341" s="17" t="n">
        <v>3300</v>
      </c>
      <c r="I341" s="17" t="n">
        <f aca="false">F341*G341</f>
        <v>33600</v>
      </c>
      <c r="J341" s="17" t="n">
        <f aca="false">F341*(G341-H341)</f>
        <v>7200</v>
      </c>
    </row>
    <row r="342" customFormat="false" ht="15" hidden="false" customHeight="false" outlineLevel="0" collapsed="false">
      <c r="A342" s="15" t="n">
        <v>46059</v>
      </c>
      <c r="B342" s="16" t="n">
        <f aca="false">MONTH(A342)</f>
        <v>2</v>
      </c>
      <c r="C342" s="16" t="s">
        <v>41</v>
      </c>
      <c r="D342" s="16" t="s">
        <v>32</v>
      </c>
      <c r="E342" s="16" t="s">
        <v>50</v>
      </c>
      <c r="F342" s="16" t="n">
        <v>3</v>
      </c>
      <c r="G342" s="17" t="n">
        <v>3800</v>
      </c>
      <c r="H342" s="17" t="n">
        <v>3000</v>
      </c>
      <c r="I342" s="17" t="n">
        <f aca="false">F342*G342</f>
        <v>11400</v>
      </c>
      <c r="J342" s="17" t="n">
        <f aca="false">F342*(G342-H342)</f>
        <v>2400</v>
      </c>
    </row>
    <row r="343" customFormat="false" ht="15" hidden="false" customHeight="false" outlineLevel="0" collapsed="false">
      <c r="A343" s="15" t="n">
        <v>46043</v>
      </c>
      <c r="B343" s="16" t="n">
        <f aca="false">MONTH(A343)</f>
        <v>1</v>
      </c>
      <c r="C343" s="16" t="s">
        <v>41</v>
      </c>
      <c r="D343" s="16" t="s">
        <v>32</v>
      </c>
      <c r="E343" s="16" t="s">
        <v>50</v>
      </c>
      <c r="F343" s="16" t="n">
        <v>11</v>
      </c>
      <c r="G343" s="17" t="n">
        <v>3800</v>
      </c>
      <c r="H343" s="17" t="n">
        <v>3000</v>
      </c>
      <c r="I343" s="17" t="n">
        <f aca="false">F343*G343</f>
        <v>41800</v>
      </c>
      <c r="J343" s="17" t="n">
        <f aca="false">F343*(G343-H343)</f>
        <v>8800</v>
      </c>
    </row>
    <row r="344" customFormat="false" ht="15" hidden="false" customHeight="false" outlineLevel="0" collapsed="false">
      <c r="A344" s="15" t="n">
        <v>46317</v>
      </c>
      <c r="B344" s="16" t="n">
        <f aca="false">MONTH(A344)</f>
        <v>10</v>
      </c>
      <c r="C344" s="16" t="s">
        <v>41</v>
      </c>
      <c r="D344" s="16" t="s">
        <v>35</v>
      </c>
      <c r="E344" s="16" t="s">
        <v>52</v>
      </c>
      <c r="F344" s="16" t="n">
        <v>8</v>
      </c>
      <c r="G344" s="17" t="n">
        <v>900</v>
      </c>
      <c r="H344" s="17" t="n">
        <v>650</v>
      </c>
      <c r="I344" s="17" t="n">
        <f aca="false">F344*G344</f>
        <v>7200</v>
      </c>
      <c r="J344" s="17" t="n">
        <f aca="false">F344*(G344-H344)</f>
        <v>2000</v>
      </c>
    </row>
    <row r="345" customFormat="false" ht="15" hidden="false" customHeight="false" outlineLevel="0" collapsed="false">
      <c r="A345" s="15" t="n">
        <v>46348</v>
      </c>
      <c r="B345" s="16" t="n">
        <f aca="false">MONTH(A345)</f>
        <v>11</v>
      </c>
      <c r="C345" s="16" t="s">
        <v>41</v>
      </c>
      <c r="D345" s="16" t="s">
        <v>35</v>
      </c>
      <c r="E345" s="16" t="s">
        <v>52</v>
      </c>
      <c r="F345" s="16" t="n">
        <v>4</v>
      </c>
      <c r="G345" s="17" t="n">
        <v>900</v>
      </c>
      <c r="H345" s="17" t="n">
        <v>650</v>
      </c>
      <c r="I345" s="17" t="n">
        <f aca="false">F345*G345</f>
        <v>3600</v>
      </c>
      <c r="J345" s="17" t="n">
        <f aca="false">F345*(G345-H345)</f>
        <v>1000</v>
      </c>
    </row>
    <row r="346" customFormat="false" ht="15" hidden="false" customHeight="false" outlineLevel="0" collapsed="false">
      <c r="A346" s="15" t="n">
        <v>46270</v>
      </c>
      <c r="B346" s="16" t="n">
        <f aca="false">MONTH(A346)</f>
        <v>9</v>
      </c>
      <c r="C346" s="16" t="s">
        <v>42</v>
      </c>
      <c r="D346" s="16" t="s">
        <v>32</v>
      </c>
      <c r="E346" s="16" t="s">
        <v>50</v>
      </c>
      <c r="F346" s="16" t="n">
        <v>1</v>
      </c>
      <c r="G346" s="17" t="n">
        <v>3800</v>
      </c>
      <c r="H346" s="17" t="n">
        <v>3000</v>
      </c>
      <c r="I346" s="17" t="n">
        <f aca="false">F346*G346</f>
        <v>3800</v>
      </c>
      <c r="J346" s="17" t="n">
        <f aca="false">F346*(G346-H346)</f>
        <v>800</v>
      </c>
    </row>
    <row r="347" customFormat="false" ht="15" hidden="false" customHeight="false" outlineLevel="0" collapsed="false">
      <c r="A347" s="15" t="n">
        <v>46096</v>
      </c>
      <c r="B347" s="16" t="n">
        <f aca="false">MONTH(A347)</f>
        <v>3</v>
      </c>
      <c r="C347" s="16" t="s">
        <v>41</v>
      </c>
      <c r="D347" s="16" t="s">
        <v>36</v>
      </c>
      <c r="E347" s="16" t="s">
        <v>51</v>
      </c>
      <c r="F347" s="16" t="n">
        <v>11</v>
      </c>
      <c r="G347" s="17" t="n">
        <v>700</v>
      </c>
      <c r="H347" s="17" t="n">
        <v>480</v>
      </c>
      <c r="I347" s="17" t="n">
        <f aca="false">F347*G347</f>
        <v>7700</v>
      </c>
      <c r="J347" s="17" t="n">
        <f aca="false">F347*(G347-H347)</f>
        <v>2420</v>
      </c>
    </row>
    <row r="348" customFormat="false" ht="15" hidden="false" customHeight="false" outlineLevel="0" collapsed="false">
      <c r="A348" s="15" t="n">
        <v>46167</v>
      </c>
      <c r="B348" s="16" t="n">
        <f aca="false">MONTH(A348)</f>
        <v>5</v>
      </c>
      <c r="C348" s="16" t="s">
        <v>43</v>
      </c>
      <c r="D348" s="16" t="s">
        <v>32</v>
      </c>
      <c r="E348" s="16" t="s">
        <v>50</v>
      </c>
      <c r="F348" s="16" t="n">
        <v>11</v>
      </c>
      <c r="G348" s="17" t="n">
        <v>3800</v>
      </c>
      <c r="H348" s="17" t="n">
        <v>3000</v>
      </c>
      <c r="I348" s="17" t="n">
        <f aca="false">F348*G348</f>
        <v>41800</v>
      </c>
      <c r="J348" s="17" t="n">
        <f aca="false">F348*(G348-H348)</f>
        <v>8800</v>
      </c>
    </row>
    <row r="349" customFormat="false" ht="15" hidden="false" customHeight="false" outlineLevel="0" collapsed="false">
      <c r="A349" s="15" t="n">
        <v>46175</v>
      </c>
      <c r="B349" s="16" t="n">
        <f aca="false">MONTH(A349)</f>
        <v>6</v>
      </c>
      <c r="C349" s="16" t="s">
        <v>42</v>
      </c>
      <c r="D349" s="16" t="s">
        <v>32</v>
      </c>
      <c r="E349" s="16" t="s">
        <v>50</v>
      </c>
      <c r="F349" s="16" t="n">
        <v>7</v>
      </c>
      <c r="G349" s="17" t="n">
        <v>3800</v>
      </c>
      <c r="H349" s="17" t="n">
        <v>3000</v>
      </c>
      <c r="I349" s="17" t="n">
        <f aca="false">F349*G349</f>
        <v>26600</v>
      </c>
      <c r="J349" s="17" t="n">
        <f aca="false">F349*(G349-H349)</f>
        <v>5600</v>
      </c>
    </row>
    <row r="350" customFormat="false" ht="15" hidden="false" customHeight="false" outlineLevel="0" collapsed="false">
      <c r="A350" s="15" t="n">
        <v>46129</v>
      </c>
      <c r="B350" s="16" t="n">
        <f aca="false">MONTH(A350)</f>
        <v>4</v>
      </c>
      <c r="C350" s="16" t="s">
        <v>41</v>
      </c>
      <c r="D350" s="16" t="s">
        <v>32</v>
      </c>
      <c r="E350" s="16" t="s">
        <v>50</v>
      </c>
      <c r="F350" s="16" t="n">
        <v>6</v>
      </c>
      <c r="G350" s="17" t="n">
        <v>3800</v>
      </c>
      <c r="H350" s="17" t="n">
        <v>3000</v>
      </c>
      <c r="I350" s="17" t="n">
        <f aca="false">F350*G350</f>
        <v>22800</v>
      </c>
      <c r="J350" s="17" t="n">
        <f aca="false">F350*(G350-H350)</f>
        <v>4800</v>
      </c>
    </row>
    <row r="351" customFormat="false" ht="15" hidden="false" customHeight="false" outlineLevel="0" collapsed="false">
      <c r="A351" s="15" t="n">
        <v>46304</v>
      </c>
      <c r="B351" s="16" t="n">
        <f aca="false">MONTH(A351)</f>
        <v>10</v>
      </c>
      <c r="C351" s="16" t="s">
        <v>40</v>
      </c>
      <c r="D351" s="16" t="s">
        <v>36</v>
      </c>
      <c r="E351" s="16" t="s">
        <v>51</v>
      </c>
      <c r="F351" s="16" t="n">
        <v>5</v>
      </c>
      <c r="G351" s="17" t="n">
        <v>700</v>
      </c>
      <c r="H351" s="17" t="n">
        <v>480</v>
      </c>
      <c r="I351" s="17" t="n">
        <f aca="false">F351*G351</f>
        <v>3500</v>
      </c>
      <c r="J351" s="17" t="n">
        <f aca="false">F351*(G351-H351)</f>
        <v>1100</v>
      </c>
    </row>
    <row r="352" customFormat="false" ht="15" hidden="false" customHeight="false" outlineLevel="0" collapsed="false">
      <c r="A352" s="15" t="n">
        <v>46293</v>
      </c>
      <c r="B352" s="16" t="n">
        <f aca="false">MONTH(A352)</f>
        <v>9</v>
      </c>
      <c r="C352" s="16" t="s">
        <v>42</v>
      </c>
      <c r="D352" s="16" t="s">
        <v>31</v>
      </c>
      <c r="E352" s="16" t="s">
        <v>50</v>
      </c>
      <c r="F352" s="16" t="n">
        <v>11</v>
      </c>
      <c r="G352" s="17" t="n">
        <v>4200</v>
      </c>
      <c r="H352" s="17" t="n">
        <v>3300</v>
      </c>
      <c r="I352" s="17" t="n">
        <f aca="false">F352*G352</f>
        <v>46200</v>
      </c>
      <c r="J352" s="17" t="n">
        <f aca="false">F352*(G352-H352)</f>
        <v>9900</v>
      </c>
    </row>
    <row r="353" customFormat="false" ht="15" hidden="false" customHeight="false" outlineLevel="0" collapsed="false">
      <c r="A353" s="15" t="n">
        <v>46318</v>
      </c>
      <c r="B353" s="16" t="n">
        <f aca="false">MONTH(A353)</f>
        <v>10</v>
      </c>
      <c r="C353" s="16" t="s">
        <v>43</v>
      </c>
      <c r="D353" s="16" t="s">
        <v>34</v>
      </c>
      <c r="E353" s="16" t="s">
        <v>51</v>
      </c>
      <c r="F353" s="16" t="n">
        <v>4</v>
      </c>
      <c r="G353" s="17" t="n">
        <v>250</v>
      </c>
      <c r="H353" s="17" t="n">
        <v>140</v>
      </c>
      <c r="I353" s="17" t="n">
        <f aca="false">F353*G353</f>
        <v>1000</v>
      </c>
      <c r="J353" s="17" t="n">
        <f aca="false">F353*(G353-H353)</f>
        <v>440</v>
      </c>
    </row>
    <row r="354" customFormat="false" ht="15" hidden="false" customHeight="false" outlineLevel="0" collapsed="false">
      <c r="A354" s="15" t="n">
        <v>46329</v>
      </c>
      <c r="B354" s="16" t="n">
        <f aca="false">MONTH(A354)</f>
        <v>11</v>
      </c>
      <c r="C354" s="16" t="s">
        <v>42</v>
      </c>
      <c r="D354" s="16" t="s">
        <v>35</v>
      </c>
      <c r="E354" s="16" t="s">
        <v>52</v>
      </c>
      <c r="F354" s="16" t="n">
        <v>6</v>
      </c>
      <c r="G354" s="17" t="n">
        <v>900</v>
      </c>
      <c r="H354" s="17" t="n">
        <v>650</v>
      </c>
      <c r="I354" s="17" t="n">
        <f aca="false">F354*G354</f>
        <v>5400</v>
      </c>
      <c r="J354" s="17" t="n">
        <f aca="false">F354*(G354-H354)</f>
        <v>1500</v>
      </c>
    </row>
    <row r="355" customFormat="false" ht="15" hidden="false" customHeight="false" outlineLevel="0" collapsed="false">
      <c r="A355" s="15" t="n">
        <v>46305</v>
      </c>
      <c r="B355" s="16" t="n">
        <f aca="false">MONTH(A355)</f>
        <v>10</v>
      </c>
      <c r="C355" s="16" t="s">
        <v>40</v>
      </c>
      <c r="D355" s="16" t="s">
        <v>31</v>
      </c>
      <c r="E355" s="16" t="s">
        <v>50</v>
      </c>
      <c r="F355" s="16" t="n">
        <v>12</v>
      </c>
      <c r="G355" s="17" t="n">
        <v>4200</v>
      </c>
      <c r="H355" s="17" t="n">
        <v>3300</v>
      </c>
      <c r="I355" s="17" t="n">
        <f aca="false">F355*G355</f>
        <v>50400</v>
      </c>
      <c r="J355" s="17" t="n">
        <f aca="false">F355*(G355-H355)</f>
        <v>10800</v>
      </c>
    </row>
    <row r="356" customFormat="false" ht="15" hidden="false" customHeight="false" outlineLevel="0" collapsed="false">
      <c r="A356" s="15" t="n">
        <v>46047</v>
      </c>
      <c r="B356" s="16" t="n">
        <f aca="false">MONTH(A356)</f>
        <v>1</v>
      </c>
      <c r="C356" s="16" t="s">
        <v>40</v>
      </c>
      <c r="D356" s="16" t="s">
        <v>34</v>
      </c>
      <c r="E356" s="16" t="s">
        <v>51</v>
      </c>
      <c r="F356" s="16" t="n">
        <v>8</v>
      </c>
      <c r="G356" s="17" t="n">
        <v>250</v>
      </c>
      <c r="H356" s="17" t="n">
        <v>140</v>
      </c>
      <c r="I356" s="17" t="n">
        <f aca="false">F356*G356</f>
        <v>2000</v>
      </c>
      <c r="J356" s="17" t="n">
        <f aca="false">F356*(G356-H356)</f>
        <v>880</v>
      </c>
    </row>
    <row r="357" customFormat="false" ht="15" hidden="false" customHeight="false" outlineLevel="0" collapsed="false">
      <c r="A357" s="15" t="n">
        <v>46275</v>
      </c>
      <c r="B357" s="16" t="n">
        <f aca="false">MONTH(A357)</f>
        <v>9</v>
      </c>
      <c r="C357" s="16" t="s">
        <v>43</v>
      </c>
      <c r="D357" s="16" t="s">
        <v>31</v>
      </c>
      <c r="E357" s="16" t="s">
        <v>50</v>
      </c>
      <c r="F357" s="16" t="n">
        <v>8</v>
      </c>
      <c r="G357" s="17" t="n">
        <v>4200</v>
      </c>
      <c r="H357" s="17" t="n">
        <v>3300</v>
      </c>
      <c r="I357" s="17" t="n">
        <f aca="false">F357*G357</f>
        <v>33600</v>
      </c>
      <c r="J357" s="17" t="n">
        <f aca="false">F357*(G357-H357)</f>
        <v>7200</v>
      </c>
    </row>
    <row r="358" customFormat="false" ht="15" hidden="false" customHeight="false" outlineLevel="0" collapsed="false">
      <c r="A358" s="15" t="n">
        <v>46291</v>
      </c>
      <c r="B358" s="16" t="n">
        <f aca="false">MONTH(A358)</f>
        <v>9</v>
      </c>
      <c r="C358" s="16" t="s">
        <v>41</v>
      </c>
      <c r="D358" s="16" t="s">
        <v>36</v>
      </c>
      <c r="E358" s="16" t="s">
        <v>51</v>
      </c>
      <c r="F358" s="16" t="n">
        <v>9</v>
      </c>
      <c r="G358" s="17" t="n">
        <v>700</v>
      </c>
      <c r="H358" s="17" t="n">
        <v>480</v>
      </c>
      <c r="I358" s="17" t="n">
        <f aca="false">F358*G358</f>
        <v>6300</v>
      </c>
      <c r="J358" s="17" t="n">
        <f aca="false">F358*(G358-H358)</f>
        <v>1980</v>
      </c>
    </row>
    <row r="359" customFormat="false" ht="15" hidden="false" customHeight="false" outlineLevel="0" collapsed="false">
      <c r="A359" s="15" t="n">
        <v>46246</v>
      </c>
      <c r="B359" s="16" t="n">
        <f aca="false">MONTH(A359)</f>
        <v>8</v>
      </c>
      <c r="C359" s="16" t="s">
        <v>41</v>
      </c>
      <c r="D359" s="16" t="s">
        <v>33</v>
      </c>
      <c r="E359" s="16" t="s">
        <v>51</v>
      </c>
      <c r="F359" s="16" t="n">
        <v>3</v>
      </c>
      <c r="G359" s="17" t="n">
        <v>450</v>
      </c>
      <c r="H359" s="17" t="n">
        <v>280</v>
      </c>
      <c r="I359" s="17" t="n">
        <f aca="false">F359*G359</f>
        <v>1350</v>
      </c>
      <c r="J359" s="17" t="n">
        <f aca="false">F359*(G359-H359)</f>
        <v>510</v>
      </c>
    </row>
    <row r="360" customFormat="false" ht="15" hidden="false" customHeight="false" outlineLevel="0" collapsed="false">
      <c r="A360" s="15" t="n">
        <v>46287</v>
      </c>
      <c r="B360" s="16" t="n">
        <f aca="false">MONTH(A360)</f>
        <v>9</v>
      </c>
      <c r="C360" s="16" t="s">
        <v>40</v>
      </c>
      <c r="D360" s="16" t="s">
        <v>34</v>
      </c>
      <c r="E360" s="16" t="s">
        <v>51</v>
      </c>
      <c r="F360" s="16" t="n">
        <v>6</v>
      </c>
      <c r="G360" s="17" t="n">
        <v>250</v>
      </c>
      <c r="H360" s="17" t="n">
        <v>140</v>
      </c>
      <c r="I360" s="17" t="n">
        <f aca="false">F360*G360</f>
        <v>1500</v>
      </c>
      <c r="J360" s="17" t="n">
        <f aca="false">F360*(G360-H360)</f>
        <v>660</v>
      </c>
    </row>
    <row r="361" customFormat="false" ht="15" hidden="false" customHeight="false" outlineLevel="0" collapsed="false">
      <c r="A361" s="15" t="n">
        <v>46083</v>
      </c>
      <c r="B361" s="16" t="n">
        <f aca="false">MONTH(A361)</f>
        <v>3</v>
      </c>
      <c r="C361" s="16" t="s">
        <v>43</v>
      </c>
      <c r="D361" s="16" t="s">
        <v>33</v>
      </c>
      <c r="E361" s="16" t="s">
        <v>51</v>
      </c>
      <c r="F361" s="16" t="n">
        <v>6</v>
      </c>
      <c r="G361" s="17" t="n">
        <v>450</v>
      </c>
      <c r="H361" s="17" t="n">
        <v>280</v>
      </c>
      <c r="I361" s="17" t="n">
        <f aca="false">F361*G361</f>
        <v>2700</v>
      </c>
      <c r="J361" s="17" t="n">
        <f aca="false">F361*(G361-H361)</f>
        <v>1020</v>
      </c>
    </row>
    <row r="362" customFormat="false" ht="15" hidden="false" customHeight="false" outlineLevel="0" collapsed="false">
      <c r="A362" s="15" t="n">
        <v>46241</v>
      </c>
      <c r="B362" s="16" t="n">
        <f aca="false">MONTH(A362)</f>
        <v>8</v>
      </c>
      <c r="C362" s="16" t="s">
        <v>40</v>
      </c>
      <c r="D362" s="16" t="s">
        <v>32</v>
      </c>
      <c r="E362" s="16" t="s">
        <v>50</v>
      </c>
      <c r="F362" s="16" t="n">
        <v>5</v>
      </c>
      <c r="G362" s="17" t="n">
        <v>3800</v>
      </c>
      <c r="H362" s="17" t="n">
        <v>3000</v>
      </c>
      <c r="I362" s="17" t="n">
        <f aca="false">F362*G362</f>
        <v>19000</v>
      </c>
      <c r="J362" s="17" t="n">
        <f aca="false">F362*(G362-H362)</f>
        <v>4000</v>
      </c>
    </row>
    <row r="363" customFormat="false" ht="15" hidden="false" customHeight="false" outlineLevel="0" collapsed="false">
      <c r="A363" s="15" t="n">
        <v>46157</v>
      </c>
      <c r="B363" s="16" t="n">
        <f aca="false">MONTH(A363)</f>
        <v>5</v>
      </c>
      <c r="C363" s="16" t="s">
        <v>41</v>
      </c>
      <c r="D363" s="16" t="s">
        <v>30</v>
      </c>
      <c r="E363" s="16" t="s">
        <v>50</v>
      </c>
      <c r="F363" s="16" t="n">
        <v>5</v>
      </c>
      <c r="G363" s="17" t="n">
        <v>18500</v>
      </c>
      <c r="H363" s="17" t="n">
        <v>15000</v>
      </c>
      <c r="I363" s="17" t="n">
        <f aca="false">F363*G363</f>
        <v>92500</v>
      </c>
      <c r="J363" s="17" t="n">
        <f aca="false">F363*(G363-H363)</f>
        <v>17500</v>
      </c>
    </row>
    <row r="364" customFormat="false" ht="15" hidden="false" customHeight="false" outlineLevel="0" collapsed="false">
      <c r="A364" s="15" t="n">
        <v>46367</v>
      </c>
      <c r="B364" s="16" t="n">
        <f aca="false">MONTH(A364)</f>
        <v>12</v>
      </c>
      <c r="C364" s="16" t="s">
        <v>41</v>
      </c>
      <c r="D364" s="16" t="s">
        <v>33</v>
      </c>
      <c r="E364" s="16" t="s">
        <v>51</v>
      </c>
      <c r="F364" s="16" t="n">
        <v>2</v>
      </c>
      <c r="G364" s="17" t="n">
        <v>450</v>
      </c>
      <c r="H364" s="17" t="n">
        <v>280</v>
      </c>
      <c r="I364" s="17" t="n">
        <f aca="false">F364*G364</f>
        <v>900</v>
      </c>
      <c r="J364" s="17" t="n">
        <f aca="false">F364*(G364-H364)</f>
        <v>340</v>
      </c>
    </row>
    <row r="365" customFormat="false" ht="15" hidden="false" customHeight="false" outlineLevel="0" collapsed="false">
      <c r="A365" s="15" t="n">
        <v>46194</v>
      </c>
      <c r="B365" s="16" t="n">
        <f aca="false">MONTH(A365)</f>
        <v>6</v>
      </c>
      <c r="C365" s="16" t="s">
        <v>43</v>
      </c>
      <c r="D365" s="16" t="s">
        <v>32</v>
      </c>
      <c r="E365" s="16" t="s">
        <v>50</v>
      </c>
      <c r="F365" s="16" t="n">
        <v>12</v>
      </c>
      <c r="G365" s="17" t="n">
        <v>3800</v>
      </c>
      <c r="H365" s="17" t="n">
        <v>3000</v>
      </c>
      <c r="I365" s="17" t="n">
        <f aca="false">F365*G365</f>
        <v>45600</v>
      </c>
      <c r="J365" s="17" t="n">
        <f aca="false">F365*(G365-H365)</f>
        <v>9600</v>
      </c>
    </row>
    <row r="366" customFormat="false" ht="15" hidden="false" customHeight="false" outlineLevel="0" collapsed="false">
      <c r="A366" s="15" t="n">
        <v>46199</v>
      </c>
      <c r="B366" s="16" t="n">
        <f aca="false">MONTH(A366)</f>
        <v>6</v>
      </c>
      <c r="C366" s="16" t="s">
        <v>43</v>
      </c>
      <c r="D366" s="16" t="s">
        <v>35</v>
      </c>
      <c r="E366" s="16" t="s">
        <v>52</v>
      </c>
      <c r="F366" s="16" t="n">
        <v>3</v>
      </c>
      <c r="G366" s="17" t="n">
        <v>900</v>
      </c>
      <c r="H366" s="17" t="n">
        <v>650</v>
      </c>
      <c r="I366" s="17" t="n">
        <f aca="false">F366*G366</f>
        <v>2700</v>
      </c>
      <c r="J366" s="17" t="n">
        <f aca="false">F366*(G366-H366)</f>
        <v>750</v>
      </c>
    </row>
    <row r="367" customFormat="false" ht="15" hidden="false" customHeight="false" outlineLevel="0" collapsed="false">
      <c r="A367" s="15" t="n">
        <v>46246</v>
      </c>
      <c r="B367" s="16" t="n">
        <f aca="false">MONTH(A367)</f>
        <v>8</v>
      </c>
      <c r="C367" s="16" t="s">
        <v>42</v>
      </c>
      <c r="D367" s="16" t="s">
        <v>35</v>
      </c>
      <c r="E367" s="16" t="s">
        <v>52</v>
      </c>
      <c r="F367" s="16" t="n">
        <v>12</v>
      </c>
      <c r="G367" s="17" t="n">
        <v>900</v>
      </c>
      <c r="H367" s="17" t="n">
        <v>650</v>
      </c>
      <c r="I367" s="17" t="n">
        <f aca="false">F367*G367</f>
        <v>10800</v>
      </c>
      <c r="J367" s="17" t="n">
        <f aca="false">F367*(G367-H367)</f>
        <v>3000</v>
      </c>
    </row>
    <row r="368" customFormat="false" ht="15" hidden="false" customHeight="false" outlineLevel="0" collapsed="false">
      <c r="A368" s="15" t="n">
        <v>46270</v>
      </c>
      <c r="B368" s="16" t="n">
        <f aca="false">MONTH(A368)</f>
        <v>9</v>
      </c>
      <c r="C368" s="16" t="s">
        <v>41</v>
      </c>
      <c r="D368" s="16" t="s">
        <v>36</v>
      </c>
      <c r="E368" s="16" t="s">
        <v>51</v>
      </c>
      <c r="F368" s="16" t="n">
        <v>11</v>
      </c>
      <c r="G368" s="17" t="n">
        <v>700</v>
      </c>
      <c r="H368" s="17" t="n">
        <v>480</v>
      </c>
      <c r="I368" s="17" t="n">
        <f aca="false">F368*G368</f>
        <v>7700</v>
      </c>
      <c r="J368" s="17" t="n">
        <f aca="false">F368*(G368-H368)</f>
        <v>2420</v>
      </c>
    </row>
    <row r="369" customFormat="false" ht="15" hidden="false" customHeight="false" outlineLevel="0" collapsed="false">
      <c r="A369" s="15" t="n">
        <v>46118</v>
      </c>
      <c r="B369" s="16" t="n">
        <f aca="false">MONTH(A369)</f>
        <v>4</v>
      </c>
      <c r="C369" s="16" t="s">
        <v>41</v>
      </c>
      <c r="D369" s="16" t="s">
        <v>34</v>
      </c>
      <c r="E369" s="16" t="s">
        <v>51</v>
      </c>
      <c r="F369" s="16" t="n">
        <v>12</v>
      </c>
      <c r="G369" s="17" t="n">
        <v>250</v>
      </c>
      <c r="H369" s="17" t="n">
        <v>140</v>
      </c>
      <c r="I369" s="17" t="n">
        <f aca="false">F369*G369</f>
        <v>3000</v>
      </c>
      <c r="J369" s="17" t="n">
        <f aca="false">F369*(G369-H369)</f>
        <v>1320</v>
      </c>
    </row>
    <row r="370" customFormat="false" ht="15" hidden="false" customHeight="false" outlineLevel="0" collapsed="false">
      <c r="A370" s="15" t="n">
        <v>46274</v>
      </c>
      <c r="B370" s="16" t="n">
        <f aca="false">MONTH(A370)</f>
        <v>9</v>
      </c>
      <c r="C370" s="16" t="s">
        <v>40</v>
      </c>
      <c r="D370" s="16" t="s">
        <v>34</v>
      </c>
      <c r="E370" s="16" t="s">
        <v>51</v>
      </c>
      <c r="F370" s="16" t="n">
        <v>7</v>
      </c>
      <c r="G370" s="17" t="n">
        <v>250</v>
      </c>
      <c r="H370" s="17" t="n">
        <v>140</v>
      </c>
      <c r="I370" s="17" t="n">
        <f aca="false">F370*G370</f>
        <v>1750</v>
      </c>
      <c r="J370" s="17" t="n">
        <f aca="false">F370*(G370-H370)</f>
        <v>770</v>
      </c>
    </row>
    <row r="371" customFormat="false" ht="15" hidden="false" customHeight="false" outlineLevel="0" collapsed="false">
      <c r="A371" s="15" t="n">
        <v>46062</v>
      </c>
      <c r="B371" s="16" t="n">
        <f aca="false">MONTH(A371)</f>
        <v>2</v>
      </c>
      <c r="C371" s="16" t="s">
        <v>42</v>
      </c>
      <c r="D371" s="16" t="s">
        <v>31</v>
      </c>
      <c r="E371" s="16" t="s">
        <v>50</v>
      </c>
      <c r="F371" s="16" t="n">
        <v>3</v>
      </c>
      <c r="G371" s="17" t="n">
        <v>4200</v>
      </c>
      <c r="H371" s="17" t="n">
        <v>3300</v>
      </c>
      <c r="I371" s="17" t="n">
        <f aca="false">F371*G371</f>
        <v>12600</v>
      </c>
      <c r="J371" s="17" t="n">
        <f aca="false">F371*(G371-H371)</f>
        <v>2700</v>
      </c>
    </row>
    <row r="372" customFormat="false" ht="15" hidden="false" customHeight="false" outlineLevel="0" collapsed="false">
      <c r="A372" s="15" t="n">
        <v>46251</v>
      </c>
      <c r="B372" s="16" t="n">
        <f aca="false">MONTH(A372)</f>
        <v>8</v>
      </c>
      <c r="C372" s="16" t="s">
        <v>42</v>
      </c>
      <c r="D372" s="16" t="s">
        <v>36</v>
      </c>
      <c r="E372" s="16" t="s">
        <v>51</v>
      </c>
      <c r="F372" s="16" t="n">
        <v>9</v>
      </c>
      <c r="G372" s="17" t="n">
        <v>700</v>
      </c>
      <c r="H372" s="17" t="n">
        <v>480</v>
      </c>
      <c r="I372" s="17" t="n">
        <f aca="false">F372*G372</f>
        <v>6300</v>
      </c>
      <c r="J372" s="17" t="n">
        <f aca="false">F372*(G372-H372)</f>
        <v>1980</v>
      </c>
    </row>
    <row r="373" customFormat="false" ht="15" hidden="false" customHeight="false" outlineLevel="0" collapsed="false">
      <c r="A373" s="15" t="n">
        <v>46265</v>
      </c>
      <c r="B373" s="16" t="n">
        <f aca="false">MONTH(A373)</f>
        <v>8</v>
      </c>
      <c r="C373" s="16" t="s">
        <v>43</v>
      </c>
      <c r="D373" s="16" t="s">
        <v>36</v>
      </c>
      <c r="E373" s="16" t="s">
        <v>51</v>
      </c>
      <c r="F373" s="16" t="n">
        <v>6</v>
      </c>
      <c r="G373" s="17" t="n">
        <v>700</v>
      </c>
      <c r="H373" s="17" t="n">
        <v>480</v>
      </c>
      <c r="I373" s="17" t="n">
        <f aca="false">F373*G373</f>
        <v>4200</v>
      </c>
      <c r="J373" s="17" t="n">
        <f aca="false">F373*(G373-H373)</f>
        <v>1320</v>
      </c>
    </row>
    <row r="374" customFormat="false" ht="15" hidden="false" customHeight="false" outlineLevel="0" collapsed="false">
      <c r="A374" s="15" t="n">
        <v>46124</v>
      </c>
      <c r="B374" s="16" t="n">
        <f aca="false">MONTH(A374)</f>
        <v>4</v>
      </c>
      <c r="C374" s="16" t="s">
        <v>43</v>
      </c>
      <c r="D374" s="16" t="s">
        <v>30</v>
      </c>
      <c r="E374" s="16" t="s">
        <v>50</v>
      </c>
      <c r="F374" s="16" t="n">
        <v>5</v>
      </c>
      <c r="G374" s="17" t="n">
        <v>18500</v>
      </c>
      <c r="H374" s="17" t="n">
        <v>15000</v>
      </c>
      <c r="I374" s="17" t="n">
        <f aca="false">F374*G374</f>
        <v>92500</v>
      </c>
      <c r="J374" s="17" t="n">
        <f aca="false">F374*(G374-H374)</f>
        <v>17500</v>
      </c>
    </row>
    <row r="375" customFormat="false" ht="15" hidden="false" customHeight="false" outlineLevel="0" collapsed="false">
      <c r="A375" s="15" t="n">
        <v>46337</v>
      </c>
      <c r="B375" s="16" t="n">
        <f aca="false">MONTH(A375)</f>
        <v>11</v>
      </c>
      <c r="C375" s="16" t="s">
        <v>41</v>
      </c>
      <c r="D375" s="16" t="s">
        <v>34</v>
      </c>
      <c r="E375" s="16" t="s">
        <v>51</v>
      </c>
      <c r="F375" s="16" t="n">
        <v>9</v>
      </c>
      <c r="G375" s="17" t="n">
        <v>250</v>
      </c>
      <c r="H375" s="17" t="n">
        <v>140</v>
      </c>
      <c r="I375" s="17" t="n">
        <f aca="false">F375*G375</f>
        <v>2250</v>
      </c>
      <c r="J375" s="17" t="n">
        <f aca="false">F375*(G375-H375)</f>
        <v>990</v>
      </c>
    </row>
    <row r="376" customFormat="false" ht="15" hidden="false" customHeight="false" outlineLevel="0" collapsed="false">
      <c r="A376" s="15" t="n">
        <v>46188</v>
      </c>
      <c r="B376" s="16" t="n">
        <f aca="false">MONTH(A376)</f>
        <v>6</v>
      </c>
      <c r="C376" s="16" t="s">
        <v>42</v>
      </c>
      <c r="D376" s="16" t="s">
        <v>30</v>
      </c>
      <c r="E376" s="16" t="s">
        <v>50</v>
      </c>
      <c r="F376" s="16" t="n">
        <v>5</v>
      </c>
      <c r="G376" s="17" t="n">
        <v>18500</v>
      </c>
      <c r="H376" s="17" t="n">
        <v>15000</v>
      </c>
      <c r="I376" s="17" t="n">
        <f aca="false">F376*G376</f>
        <v>92500</v>
      </c>
      <c r="J376" s="17" t="n">
        <f aca="false">F376*(G376-H376)</f>
        <v>17500</v>
      </c>
    </row>
    <row r="377" customFormat="false" ht="15" hidden="false" customHeight="false" outlineLevel="0" collapsed="false">
      <c r="A377" s="15" t="n">
        <v>46297</v>
      </c>
      <c r="B377" s="16" t="n">
        <f aca="false">MONTH(A377)</f>
        <v>10</v>
      </c>
      <c r="C377" s="16" t="s">
        <v>42</v>
      </c>
      <c r="D377" s="16" t="s">
        <v>35</v>
      </c>
      <c r="E377" s="16" t="s">
        <v>52</v>
      </c>
      <c r="F377" s="16" t="n">
        <v>10</v>
      </c>
      <c r="G377" s="17" t="n">
        <v>900</v>
      </c>
      <c r="H377" s="17" t="n">
        <v>650</v>
      </c>
      <c r="I377" s="17" t="n">
        <f aca="false">F377*G377</f>
        <v>9000</v>
      </c>
      <c r="J377" s="17" t="n">
        <f aca="false">F377*(G377-H377)</f>
        <v>2500</v>
      </c>
    </row>
    <row r="378" customFormat="false" ht="15" hidden="false" customHeight="false" outlineLevel="0" collapsed="false">
      <c r="A378" s="15" t="n">
        <v>46033</v>
      </c>
      <c r="B378" s="16" t="n">
        <f aca="false">MONTH(A378)</f>
        <v>1</v>
      </c>
      <c r="C378" s="16" t="s">
        <v>41</v>
      </c>
      <c r="D378" s="16" t="s">
        <v>35</v>
      </c>
      <c r="E378" s="16" t="s">
        <v>52</v>
      </c>
      <c r="F378" s="16" t="n">
        <v>11</v>
      </c>
      <c r="G378" s="17" t="n">
        <v>900</v>
      </c>
      <c r="H378" s="17" t="n">
        <v>650</v>
      </c>
      <c r="I378" s="17" t="n">
        <f aca="false">F378*G378</f>
        <v>9900</v>
      </c>
      <c r="J378" s="17" t="n">
        <f aca="false">F378*(G378-H378)</f>
        <v>2750</v>
      </c>
    </row>
    <row r="379" customFormat="false" ht="15" hidden="false" customHeight="false" outlineLevel="0" collapsed="false">
      <c r="A379" s="15" t="n">
        <v>46023</v>
      </c>
      <c r="B379" s="16" t="n">
        <f aca="false">MONTH(A379)</f>
        <v>1</v>
      </c>
      <c r="C379" s="16" t="s">
        <v>43</v>
      </c>
      <c r="D379" s="16" t="s">
        <v>36</v>
      </c>
      <c r="E379" s="16" t="s">
        <v>51</v>
      </c>
      <c r="F379" s="16" t="n">
        <v>5</v>
      </c>
      <c r="G379" s="17" t="n">
        <v>700</v>
      </c>
      <c r="H379" s="17" t="n">
        <v>480</v>
      </c>
      <c r="I379" s="17" t="n">
        <f aca="false">F379*G379</f>
        <v>3500</v>
      </c>
      <c r="J379" s="17" t="n">
        <f aca="false">F379*(G379-H379)</f>
        <v>1100</v>
      </c>
    </row>
    <row r="380" customFormat="false" ht="15" hidden="false" customHeight="false" outlineLevel="0" collapsed="false">
      <c r="A380" s="15" t="n">
        <v>46081</v>
      </c>
      <c r="B380" s="16" t="n">
        <f aca="false">MONTH(A380)</f>
        <v>2</v>
      </c>
      <c r="C380" s="16" t="s">
        <v>41</v>
      </c>
      <c r="D380" s="16" t="s">
        <v>33</v>
      </c>
      <c r="E380" s="16" t="s">
        <v>51</v>
      </c>
      <c r="F380" s="16" t="n">
        <v>11</v>
      </c>
      <c r="G380" s="17" t="n">
        <v>450</v>
      </c>
      <c r="H380" s="17" t="n">
        <v>280</v>
      </c>
      <c r="I380" s="17" t="n">
        <f aca="false">F380*G380</f>
        <v>4950</v>
      </c>
      <c r="J380" s="17" t="n">
        <f aca="false">F380*(G380-H380)</f>
        <v>1870</v>
      </c>
    </row>
    <row r="381" customFormat="false" ht="15" hidden="false" customHeight="false" outlineLevel="0" collapsed="false">
      <c r="A381" s="15" t="n">
        <v>46060</v>
      </c>
      <c r="B381" s="16" t="n">
        <f aca="false">MONTH(A381)</f>
        <v>2</v>
      </c>
      <c r="C381" s="16" t="s">
        <v>40</v>
      </c>
      <c r="D381" s="16" t="s">
        <v>35</v>
      </c>
      <c r="E381" s="16" t="s">
        <v>52</v>
      </c>
      <c r="F381" s="16" t="n">
        <v>4</v>
      </c>
      <c r="G381" s="17" t="n">
        <v>900</v>
      </c>
      <c r="H381" s="17" t="n">
        <v>650</v>
      </c>
      <c r="I381" s="17" t="n">
        <f aca="false">F381*G381</f>
        <v>3600</v>
      </c>
      <c r="J381" s="17" t="n">
        <f aca="false">F381*(G381-H381)</f>
        <v>1000</v>
      </c>
    </row>
    <row r="382" customFormat="false" ht="15" hidden="false" customHeight="false" outlineLevel="0" collapsed="false">
      <c r="A382" s="15" t="n">
        <v>46378</v>
      </c>
      <c r="B382" s="16" t="n">
        <f aca="false">MONTH(A382)</f>
        <v>12</v>
      </c>
      <c r="C382" s="16" t="s">
        <v>43</v>
      </c>
      <c r="D382" s="16" t="s">
        <v>31</v>
      </c>
      <c r="E382" s="16" t="s">
        <v>50</v>
      </c>
      <c r="F382" s="16" t="n">
        <v>2</v>
      </c>
      <c r="G382" s="17" t="n">
        <v>4200</v>
      </c>
      <c r="H382" s="17" t="n">
        <v>3300</v>
      </c>
      <c r="I382" s="17" t="n">
        <f aca="false">F382*G382</f>
        <v>8400</v>
      </c>
      <c r="J382" s="17" t="n">
        <f aca="false">F382*(G382-H382)</f>
        <v>1800</v>
      </c>
    </row>
    <row r="383" customFormat="false" ht="15" hidden="false" customHeight="false" outlineLevel="0" collapsed="false">
      <c r="A383" s="15" t="n">
        <v>46371</v>
      </c>
      <c r="B383" s="16" t="n">
        <f aca="false">MONTH(A383)</f>
        <v>12</v>
      </c>
      <c r="C383" s="16" t="s">
        <v>43</v>
      </c>
      <c r="D383" s="16" t="s">
        <v>34</v>
      </c>
      <c r="E383" s="16" t="s">
        <v>51</v>
      </c>
      <c r="F383" s="16" t="n">
        <v>3</v>
      </c>
      <c r="G383" s="17" t="n">
        <v>250</v>
      </c>
      <c r="H383" s="17" t="n">
        <v>140</v>
      </c>
      <c r="I383" s="17" t="n">
        <f aca="false">F383*G383</f>
        <v>750</v>
      </c>
      <c r="J383" s="17" t="n">
        <f aca="false">F383*(G383-H383)</f>
        <v>330</v>
      </c>
    </row>
    <row r="384" customFormat="false" ht="15" hidden="false" customHeight="false" outlineLevel="0" collapsed="false">
      <c r="A384" s="15" t="n">
        <v>46127</v>
      </c>
      <c r="B384" s="16" t="n">
        <f aca="false">MONTH(A384)</f>
        <v>4</v>
      </c>
      <c r="C384" s="16" t="s">
        <v>40</v>
      </c>
      <c r="D384" s="16" t="s">
        <v>34</v>
      </c>
      <c r="E384" s="16" t="s">
        <v>51</v>
      </c>
      <c r="F384" s="16" t="n">
        <v>8</v>
      </c>
      <c r="G384" s="17" t="n">
        <v>250</v>
      </c>
      <c r="H384" s="17" t="n">
        <v>140</v>
      </c>
      <c r="I384" s="17" t="n">
        <f aca="false">F384*G384</f>
        <v>2000</v>
      </c>
      <c r="J384" s="17" t="n">
        <f aca="false">F384*(G384-H384)</f>
        <v>880</v>
      </c>
    </row>
    <row r="385" customFormat="false" ht="15" hidden="false" customHeight="false" outlineLevel="0" collapsed="false">
      <c r="A385" s="15" t="n">
        <v>46314</v>
      </c>
      <c r="B385" s="16" t="n">
        <f aca="false">MONTH(A385)</f>
        <v>10</v>
      </c>
      <c r="C385" s="16" t="s">
        <v>40</v>
      </c>
      <c r="D385" s="16" t="s">
        <v>30</v>
      </c>
      <c r="E385" s="16" t="s">
        <v>50</v>
      </c>
      <c r="F385" s="16" t="n">
        <v>11</v>
      </c>
      <c r="G385" s="17" t="n">
        <v>18500</v>
      </c>
      <c r="H385" s="17" t="n">
        <v>15000</v>
      </c>
      <c r="I385" s="17" t="n">
        <f aca="false">F385*G385</f>
        <v>203500</v>
      </c>
      <c r="J385" s="17" t="n">
        <f aca="false">F385*(G385-H385)</f>
        <v>38500</v>
      </c>
    </row>
    <row r="386" customFormat="false" ht="15" hidden="false" customHeight="false" outlineLevel="0" collapsed="false">
      <c r="A386" s="15" t="n">
        <v>46231</v>
      </c>
      <c r="B386" s="16" t="n">
        <f aca="false">MONTH(A386)</f>
        <v>7</v>
      </c>
      <c r="C386" s="16" t="s">
        <v>40</v>
      </c>
      <c r="D386" s="16" t="s">
        <v>33</v>
      </c>
      <c r="E386" s="16" t="s">
        <v>51</v>
      </c>
      <c r="F386" s="16" t="n">
        <v>3</v>
      </c>
      <c r="G386" s="17" t="n">
        <v>450</v>
      </c>
      <c r="H386" s="17" t="n">
        <v>280</v>
      </c>
      <c r="I386" s="17" t="n">
        <f aca="false">F386*G386</f>
        <v>1350</v>
      </c>
      <c r="J386" s="17" t="n">
        <f aca="false">F386*(G386-H386)</f>
        <v>510</v>
      </c>
    </row>
    <row r="387" customFormat="false" ht="15" hidden="false" customHeight="false" outlineLevel="0" collapsed="false">
      <c r="A387" s="15" t="n">
        <v>46374</v>
      </c>
      <c r="B387" s="16" t="n">
        <f aca="false">MONTH(A387)</f>
        <v>12</v>
      </c>
      <c r="C387" s="16" t="s">
        <v>43</v>
      </c>
      <c r="D387" s="16" t="s">
        <v>33</v>
      </c>
      <c r="E387" s="16" t="s">
        <v>51</v>
      </c>
      <c r="F387" s="16" t="n">
        <v>10</v>
      </c>
      <c r="G387" s="17" t="n">
        <v>450</v>
      </c>
      <c r="H387" s="17" t="n">
        <v>280</v>
      </c>
      <c r="I387" s="17" t="n">
        <f aca="false">F387*G387</f>
        <v>4500</v>
      </c>
      <c r="J387" s="17" t="n">
        <f aca="false">F387*(G387-H387)</f>
        <v>1700</v>
      </c>
    </row>
    <row r="388" customFormat="false" ht="15" hidden="false" customHeight="false" outlineLevel="0" collapsed="false">
      <c r="A388" s="15" t="n">
        <v>46093</v>
      </c>
      <c r="B388" s="16" t="n">
        <f aca="false">MONTH(A388)</f>
        <v>3</v>
      </c>
      <c r="C388" s="16" t="s">
        <v>40</v>
      </c>
      <c r="D388" s="16" t="s">
        <v>31</v>
      </c>
      <c r="E388" s="16" t="s">
        <v>50</v>
      </c>
      <c r="F388" s="16" t="n">
        <v>1</v>
      </c>
      <c r="G388" s="17" t="n">
        <v>4200</v>
      </c>
      <c r="H388" s="17" t="n">
        <v>3300</v>
      </c>
      <c r="I388" s="17" t="n">
        <f aca="false">F388*G388</f>
        <v>4200</v>
      </c>
      <c r="J388" s="17" t="n">
        <f aca="false">F388*(G388-H388)</f>
        <v>900</v>
      </c>
    </row>
    <row r="389" customFormat="false" ht="15" hidden="false" customHeight="false" outlineLevel="0" collapsed="false">
      <c r="A389" s="15" t="n">
        <v>46353</v>
      </c>
      <c r="B389" s="16" t="n">
        <f aca="false">MONTH(A389)</f>
        <v>11</v>
      </c>
      <c r="C389" s="16" t="s">
        <v>42</v>
      </c>
      <c r="D389" s="16" t="s">
        <v>34</v>
      </c>
      <c r="E389" s="16" t="s">
        <v>51</v>
      </c>
      <c r="F389" s="16" t="n">
        <v>3</v>
      </c>
      <c r="G389" s="17" t="n">
        <v>250</v>
      </c>
      <c r="H389" s="17" t="n">
        <v>140</v>
      </c>
      <c r="I389" s="17" t="n">
        <f aca="false">F389*G389</f>
        <v>750</v>
      </c>
      <c r="J389" s="17" t="n">
        <f aca="false">F389*(G389-H389)</f>
        <v>330</v>
      </c>
    </row>
    <row r="390" customFormat="false" ht="15" hidden="false" customHeight="false" outlineLevel="0" collapsed="false">
      <c r="A390" s="15" t="n">
        <v>46123</v>
      </c>
      <c r="B390" s="16" t="n">
        <f aca="false">MONTH(A390)</f>
        <v>4</v>
      </c>
      <c r="C390" s="16" t="s">
        <v>42</v>
      </c>
      <c r="D390" s="16" t="s">
        <v>36</v>
      </c>
      <c r="E390" s="16" t="s">
        <v>51</v>
      </c>
      <c r="F390" s="16" t="n">
        <v>10</v>
      </c>
      <c r="G390" s="17" t="n">
        <v>700</v>
      </c>
      <c r="H390" s="17" t="n">
        <v>480</v>
      </c>
      <c r="I390" s="17" t="n">
        <f aca="false">F390*G390</f>
        <v>7000</v>
      </c>
      <c r="J390" s="17" t="n">
        <f aca="false">F390*(G390-H390)</f>
        <v>2200</v>
      </c>
    </row>
    <row r="391" customFormat="false" ht="15" hidden="false" customHeight="false" outlineLevel="0" collapsed="false">
      <c r="A391" s="15" t="n">
        <v>46286</v>
      </c>
      <c r="B391" s="16" t="n">
        <f aca="false">MONTH(A391)</f>
        <v>9</v>
      </c>
      <c r="C391" s="16" t="s">
        <v>40</v>
      </c>
      <c r="D391" s="16" t="s">
        <v>35</v>
      </c>
      <c r="E391" s="16" t="s">
        <v>52</v>
      </c>
      <c r="F391" s="16" t="n">
        <v>5</v>
      </c>
      <c r="G391" s="17" t="n">
        <v>900</v>
      </c>
      <c r="H391" s="17" t="n">
        <v>650</v>
      </c>
      <c r="I391" s="17" t="n">
        <f aca="false">F391*G391</f>
        <v>4500</v>
      </c>
      <c r="J391" s="17" t="n">
        <f aca="false">F391*(G391-H391)</f>
        <v>1250</v>
      </c>
    </row>
    <row r="392" customFormat="false" ht="15" hidden="false" customHeight="false" outlineLevel="0" collapsed="false">
      <c r="A392" s="15" t="n">
        <v>46233</v>
      </c>
      <c r="B392" s="16" t="n">
        <f aca="false">MONTH(A392)</f>
        <v>7</v>
      </c>
      <c r="C392" s="16" t="s">
        <v>42</v>
      </c>
      <c r="D392" s="16" t="s">
        <v>31</v>
      </c>
      <c r="E392" s="16" t="s">
        <v>50</v>
      </c>
      <c r="F392" s="16" t="n">
        <v>12</v>
      </c>
      <c r="G392" s="17" t="n">
        <v>4200</v>
      </c>
      <c r="H392" s="17" t="n">
        <v>3300</v>
      </c>
      <c r="I392" s="17" t="n">
        <f aca="false">F392*G392</f>
        <v>50400</v>
      </c>
      <c r="J392" s="17" t="n">
        <f aca="false">F392*(G392-H392)</f>
        <v>10800</v>
      </c>
    </row>
    <row r="393" customFormat="false" ht="15" hidden="false" customHeight="false" outlineLevel="0" collapsed="false">
      <c r="A393" s="15" t="n">
        <v>46057</v>
      </c>
      <c r="B393" s="16" t="n">
        <f aca="false">MONTH(A393)</f>
        <v>2</v>
      </c>
      <c r="C393" s="16" t="s">
        <v>42</v>
      </c>
      <c r="D393" s="16" t="s">
        <v>33</v>
      </c>
      <c r="E393" s="16" t="s">
        <v>51</v>
      </c>
      <c r="F393" s="16" t="n">
        <v>9</v>
      </c>
      <c r="G393" s="17" t="n">
        <v>450</v>
      </c>
      <c r="H393" s="17" t="n">
        <v>280</v>
      </c>
      <c r="I393" s="17" t="n">
        <f aca="false">F393*G393</f>
        <v>4050</v>
      </c>
      <c r="J393" s="17" t="n">
        <f aca="false">F393*(G393-H393)</f>
        <v>1530</v>
      </c>
    </row>
    <row r="394" customFormat="false" ht="15" hidden="false" customHeight="false" outlineLevel="0" collapsed="false">
      <c r="A394" s="15" t="n">
        <v>46254</v>
      </c>
      <c r="B394" s="16" t="n">
        <f aca="false">MONTH(A394)</f>
        <v>8</v>
      </c>
      <c r="C394" s="16" t="s">
        <v>43</v>
      </c>
      <c r="D394" s="16" t="s">
        <v>34</v>
      </c>
      <c r="E394" s="16" t="s">
        <v>51</v>
      </c>
      <c r="F394" s="16" t="n">
        <v>5</v>
      </c>
      <c r="G394" s="17" t="n">
        <v>250</v>
      </c>
      <c r="H394" s="17" t="n">
        <v>140</v>
      </c>
      <c r="I394" s="17" t="n">
        <f aca="false">F394*G394</f>
        <v>1250</v>
      </c>
      <c r="J394" s="17" t="n">
        <f aca="false">F394*(G394-H394)</f>
        <v>550</v>
      </c>
    </row>
    <row r="395" customFormat="false" ht="15" hidden="false" customHeight="false" outlineLevel="0" collapsed="false">
      <c r="A395" s="15" t="n">
        <v>46043</v>
      </c>
      <c r="B395" s="16" t="n">
        <f aca="false">MONTH(A395)</f>
        <v>1</v>
      </c>
      <c r="C395" s="16" t="s">
        <v>43</v>
      </c>
      <c r="D395" s="16" t="s">
        <v>35</v>
      </c>
      <c r="E395" s="16" t="s">
        <v>52</v>
      </c>
      <c r="F395" s="16" t="n">
        <v>4</v>
      </c>
      <c r="G395" s="17" t="n">
        <v>900</v>
      </c>
      <c r="H395" s="17" t="n">
        <v>650</v>
      </c>
      <c r="I395" s="17" t="n">
        <f aca="false">F395*G395</f>
        <v>3600</v>
      </c>
      <c r="J395" s="17" t="n">
        <f aca="false">F395*(G395-H395)</f>
        <v>1000</v>
      </c>
    </row>
    <row r="396" customFormat="false" ht="15" hidden="false" customHeight="false" outlineLevel="0" collapsed="false">
      <c r="A396" s="15" t="n">
        <v>46089</v>
      </c>
      <c r="B396" s="16" t="n">
        <f aca="false">MONTH(A396)</f>
        <v>3</v>
      </c>
      <c r="C396" s="16" t="s">
        <v>42</v>
      </c>
      <c r="D396" s="16" t="s">
        <v>30</v>
      </c>
      <c r="E396" s="16" t="s">
        <v>50</v>
      </c>
      <c r="F396" s="16" t="n">
        <v>8</v>
      </c>
      <c r="G396" s="17" t="n">
        <v>18500</v>
      </c>
      <c r="H396" s="17" t="n">
        <v>15000</v>
      </c>
      <c r="I396" s="17" t="n">
        <f aca="false">F396*G396</f>
        <v>148000</v>
      </c>
      <c r="J396" s="17" t="n">
        <f aca="false">F396*(G396-H396)</f>
        <v>28000</v>
      </c>
    </row>
    <row r="397" customFormat="false" ht="15" hidden="false" customHeight="false" outlineLevel="0" collapsed="false">
      <c r="A397" s="15" t="n">
        <v>46376</v>
      </c>
      <c r="B397" s="16" t="n">
        <f aca="false">MONTH(A397)</f>
        <v>12</v>
      </c>
      <c r="C397" s="16" t="s">
        <v>43</v>
      </c>
      <c r="D397" s="16" t="s">
        <v>35</v>
      </c>
      <c r="E397" s="16" t="s">
        <v>52</v>
      </c>
      <c r="F397" s="16" t="n">
        <v>2</v>
      </c>
      <c r="G397" s="17" t="n">
        <v>900</v>
      </c>
      <c r="H397" s="17" t="n">
        <v>650</v>
      </c>
      <c r="I397" s="17" t="n">
        <f aca="false">F397*G397</f>
        <v>1800</v>
      </c>
      <c r="J397" s="17" t="n">
        <f aca="false">F397*(G397-H397)</f>
        <v>500</v>
      </c>
    </row>
    <row r="398" customFormat="false" ht="15" hidden="false" customHeight="false" outlineLevel="0" collapsed="false">
      <c r="A398" s="15" t="n">
        <v>46354</v>
      </c>
      <c r="B398" s="16" t="n">
        <f aca="false">MONTH(A398)</f>
        <v>11</v>
      </c>
      <c r="C398" s="16" t="s">
        <v>42</v>
      </c>
      <c r="D398" s="16" t="s">
        <v>32</v>
      </c>
      <c r="E398" s="16" t="s">
        <v>50</v>
      </c>
      <c r="F398" s="16" t="n">
        <v>7</v>
      </c>
      <c r="G398" s="17" t="n">
        <v>3800</v>
      </c>
      <c r="H398" s="17" t="n">
        <v>3000</v>
      </c>
      <c r="I398" s="17" t="n">
        <f aca="false">F398*G398</f>
        <v>26600</v>
      </c>
      <c r="J398" s="17" t="n">
        <f aca="false">F398*(G398-H398)</f>
        <v>5600</v>
      </c>
    </row>
    <row r="399" customFormat="false" ht="15" hidden="false" customHeight="false" outlineLevel="0" collapsed="false">
      <c r="A399" s="15" t="n">
        <v>46345</v>
      </c>
      <c r="B399" s="16" t="n">
        <f aca="false">MONTH(A399)</f>
        <v>11</v>
      </c>
      <c r="C399" s="16" t="s">
        <v>40</v>
      </c>
      <c r="D399" s="16" t="s">
        <v>35</v>
      </c>
      <c r="E399" s="16" t="s">
        <v>52</v>
      </c>
      <c r="F399" s="16" t="n">
        <v>10</v>
      </c>
      <c r="G399" s="17" t="n">
        <v>900</v>
      </c>
      <c r="H399" s="17" t="n">
        <v>650</v>
      </c>
      <c r="I399" s="17" t="n">
        <f aca="false">F399*G399</f>
        <v>9000</v>
      </c>
      <c r="J399" s="17" t="n">
        <f aca="false">F399*(G399-H399)</f>
        <v>2500</v>
      </c>
    </row>
    <row r="400" customFormat="false" ht="15" hidden="false" customHeight="false" outlineLevel="0" collapsed="false">
      <c r="A400" s="15" t="n">
        <v>46041</v>
      </c>
      <c r="B400" s="16" t="n">
        <f aca="false">MONTH(A400)</f>
        <v>1</v>
      </c>
      <c r="C400" s="16" t="s">
        <v>42</v>
      </c>
      <c r="D400" s="16" t="s">
        <v>36</v>
      </c>
      <c r="E400" s="16" t="s">
        <v>51</v>
      </c>
      <c r="F400" s="16" t="n">
        <v>4</v>
      </c>
      <c r="G400" s="17" t="n">
        <v>700</v>
      </c>
      <c r="H400" s="17" t="n">
        <v>480</v>
      </c>
      <c r="I400" s="17" t="n">
        <f aca="false">F400*G400</f>
        <v>2800</v>
      </c>
      <c r="J400" s="17" t="n">
        <f aca="false">F400*(G400-H400)</f>
        <v>880</v>
      </c>
    </row>
    <row r="401" customFormat="false" ht="15" hidden="false" customHeight="false" outlineLevel="0" collapsed="false">
      <c r="A401" s="15" t="n">
        <v>46157</v>
      </c>
      <c r="B401" s="16" t="n">
        <f aca="false">MONTH(A401)</f>
        <v>5</v>
      </c>
      <c r="C401" s="16" t="s">
        <v>43</v>
      </c>
      <c r="D401" s="16" t="s">
        <v>33</v>
      </c>
      <c r="E401" s="16" t="s">
        <v>51</v>
      </c>
      <c r="F401" s="16" t="n">
        <v>2</v>
      </c>
      <c r="G401" s="17" t="n">
        <v>450</v>
      </c>
      <c r="H401" s="17" t="n">
        <v>280</v>
      </c>
      <c r="I401" s="17" t="n">
        <f aca="false">F401*G401</f>
        <v>900</v>
      </c>
      <c r="J401" s="17" t="n">
        <f aca="false">F401*(G401-H401)</f>
        <v>340</v>
      </c>
    </row>
    <row r="402" customFormat="false" ht="15" hidden="false" customHeight="false" outlineLevel="0" collapsed="false">
      <c r="A402" s="15" t="n">
        <v>46211</v>
      </c>
      <c r="B402" s="16" t="n">
        <f aca="false">MONTH(A402)</f>
        <v>7</v>
      </c>
      <c r="C402" s="16" t="s">
        <v>40</v>
      </c>
      <c r="D402" s="16" t="s">
        <v>36</v>
      </c>
      <c r="E402" s="16" t="s">
        <v>51</v>
      </c>
      <c r="F402" s="16" t="n">
        <v>3</v>
      </c>
      <c r="G402" s="17" t="n">
        <v>700</v>
      </c>
      <c r="H402" s="17" t="n">
        <v>480</v>
      </c>
      <c r="I402" s="17" t="n">
        <f aca="false">F402*G402</f>
        <v>2100</v>
      </c>
      <c r="J402" s="17" t="n">
        <f aca="false">F402*(G402-H402)</f>
        <v>660</v>
      </c>
    </row>
    <row r="403" customFormat="false" ht="15" hidden="false" customHeight="false" outlineLevel="0" collapsed="false">
      <c r="A403" s="15" t="n">
        <v>46305</v>
      </c>
      <c r="B403" s="16" t="n">
        <f aca="false">MONTH(A403)</f>
        <v>10</v>
      </c>
      <c r="C403" s="16" t="s">
        <v>43</v>
      </c>
      <c r="D403" s="16" t="s">
        <v>32</v>
      </c>
      <c r="E403" s="16" t="s">
        <v>50</v>
      </c>
      <c r="F403" s="16" t="n">
        <v>1</v>
      </c>
      <c r="G403" s="17" t="n">
        <v>3800</v>
      </c>
      <c r="H403" s="17" t="n">
        <v>3000</v>
      </c>
      <c r="I403" s="17" t="n">
        <f aca="false">F403*G403</f>
        <v>3800</v>
      </c>
      <c r="J403" s="17" t="n">
        <f aca="false">F403*(G403-H403)</f>
        <v>800</v>
      </c>
    </row>
    <row r="404" customFormat="false" ht="15" hidden="false" customHeight="false" outlineLevel="0" collapsed="false">
      <c r="A404" s="15" t="n">
        <v>46378</v>
      </c>
      <c r="B404" s="16" t="n">
        <f aca="false">MONTH(A404)</f>
        <v>12</v>
      </c>
      <c r="C404" s="16" t="s">
        <v>41</v>
      </c>
      <c r="D404" s="16" t="s">
        <v>36</v>
      </c>
      <c r="E404" s="16" t="s">
        <v>51</v>
      </c>
      <c r="F404" s="16" t="n">
        <v>5</v>
      </c>
      <c r="G404" s="17" t="n">
        <v>700</v>
      </c>
      <c r="H404" s="17" t="n">
        <v>480</v>
      </c>
      <c r="I404" s="17" t="n">
        <f aca="false">F404*G404</f>
        <v>3500</v>
      </c>
      <c r="J404" s="17" t="n">
        <f aca="false">F404*(G404-H404)</f>
        <v>1100</v>
      </c>
    </row>
    <row r="405" customFormat="false" ht="15" hidden="false" customHeight="false" outlineLevel="0" collapsed="false">
      <c r="A405" s="15" t="n">
        <v>46086</v>
      </c>
      <c r="B405" s="16" t="n">
        <f aca="false">MONTH(A405)</f>
        <v>3</v>
      </c>
      <c r="C405" s="16" t="s">
        <v>43</v>
      </c>
      <c r="D405" s="16" t="s">
        <v>32</v>
      </c>
      <c r="E405" s="16" t="s">
        <v>50</v>
      </c>
      <c r="F405" s="16" t="n">
        <v>7</v>
      </c>
      <c r="G405" s="17" t="n">
        <v>3800</v>
      </c>
      <c r="H405" s="17" t="n">
        <v>3000</v>
      </c>
      <c r="I405" s="17" t="n">
        <f aca="false">F405*G405</f>
        <v>26600</v>
      </c>
      <c r="J405" s="17" t="n">
        <f aca="false">F405*(G405-H405)</f>
        <v>5600</v>
      </c>
    </row>
    <row r="406" customFormat="false" ht="15" hidden="false" customHeight="false" outlineLevel="0" collapsed="false">
      <c r="A406" s="15" t="n">
        <v>46096</v>
      </c>
      <c r="B406" s="16" t="n">
        <f aca="false">MONTH(A406)</f>
        <v>3</v>
      </c>
      <c r="C406" s="16" t="s">
        <v>42</v>
      </c>
      <c r="D406" s="16" t="s">
        <v>30</v>
      </c>
      <c r="E406" s="16" t="s">
        <v>50</v>
      </c>
      <c r="F406" s="16" t="n">
        <v>1</v>
      </c>
      <c r="G406" s="17" t="n">
        <v>18500</v>
      </c>
      <c r="H406" s="17" t="n">
        <v>15000</v>
      </c>
      <c r="I406" s="17" t="n">
        <f aca="false">F406*G406</f>
        <v>18500</v>
      </c>
      <c r="J406" s="17" t="n">
        <f aca="false">F406*(G406-H406)</f>
        <v>3500</v>
      </c>
    </row>
    <row r="407" customFormat="false" ht="15" hidden="false" customHeight="false" outlineLevel="0" collapsed="false">
      <c r="A407" s="15" t="n">
        <v>46096</v>
      </c>
      <c r="B407" s="16" t="n">
        <f aca="false">MONTH(A407)</f>
        <v>3</v>
      </c>
      <c r="C407" s="16" t="s">
        <v>41</v>
      </c>
      <c r="D407" s="16" t="s">
        <v>31</v>
      </c>
      <c r="E407" s="16" t="s">
        <v>50</v>
      </c>
      <c r="F407" s="16" t="n">
        <v>3</v>
      </c>
      <c r="G407" s="17" t="n">
        <v>4200</v>
      </c>
      <c r="H407" s="17" t="n">
        <v>3300</v>
      </c>
      <c r="I407" s="17" t="n">
        <f aca="false">F407*G407</f>
        <v>12600</v>
      </c>
      <c r="J407" s="17" t="n">
        <f aca="false">F407*(G407-H407)</f>
        <v>2700</v>
      </c>
    </row>
    <row r="408" customFormat="false" ht="15" hidden="false" customHeight="false" outlineLevel="0" collapsed="false">
      <c r="A408" s="15" t="n">
        <v>46350</v>
      </c>
      <c r="B408" s="16" t="n">
        <f aca="false">MONTH(A408)</f>
        <v>11</v>
      </c>
      <c r="C408" s="16" t="s">
        <v>43</v>
      </c>
      <c r="D408" s="16" t="s">
        <v>33</v>
      </c>
      <c r="E408" s="16" t="s">
        <v>51</v>
      </c>
      <c r="F408" s="16" t="n">
        <v>9</v>
      </c>
      <c r="G408" s="17" t="n">
        <v>450</v>
      </c>
      <c r="H408" s="17" t="n">
        <v>280</v>
      </c>
      <c r="I408" s="17" t="n">
        <f aca="false">F408*G408</f>
        <v>4050</v>
      </c>
      <c r="J408" s="17" t="n">
        <f aca="false">F408*(G408-H408)</f>
        <v>1530</v>
      </c>
    </row>
    <row r="409" customFormat="false" ht="15" hidden="false" customHeight="false" outlineLevel="0" collapsed="false">
      <c r="A409" s="15" t="n">
        <v>46155</v>
      </c>
      <c r="B409" s="16" t="n">
        <f aca="false">MONTH(A409)</f>
        <v>5</v>
      </c>
      <c r="C409" s="16" t="s">
        <v>43</v>
      </c>
      <c r="D409" s="16" t="s">
        <v>30</v>
      </c>
      <c r="E409" s="16" t="s">
        <v>50</v>
      </c>
      <c r="F409" s="16" t="n">
        <v>10</v>
      </c>
      <c r="G409" s="17" t="n">
        <v>18500</v>
      </c>
      <c r="H409" s="17" t="n">
        <v>15000</v>
      </c>
      <c r="I409" s="17" t="n">
        <f aca="false">F409*G409</f>
        <v>185000</v>
      </c>
      <c r="J409" s="17" t="n">
        <f aca="false">F409*(G409-H409)</f>
        <v>35000</v>
      </c>
    </row>
    <row r="410" customFormat="false" ht="15" hidden="false" customHeight="false" outlineLevel="0" collapsed="false">
      <c r="A410" s="15" t="n">
        <v>46104</v>
      </c>
      <c r="B410" s="16" t="n">
        <f aca="false">MONTH(A410)</f>
        <v>3</v>
      </c>
      <c r="C410" s="16" t="s">
        <v>41</v>
      </c>
      <c r="D410" s="16" t="s">
        <v>34</v>
      </c>
      <c r="E410" s="16" t="s">
        <v>51</v>
      </c>
      <c r="F410" s="16" t="n">
        <v>1</v>
      </c>
      <c r="G410" s="17" t="n">
        <v>250</v>
      </c>
      <c r="H410" s="17" t="n">
        <v>140</v>
      </c>
      <c r="I410" s="17" t="n">
        <f aca="false">F410*G410</f>
        <v>250</v>
      </c>
      <c r="J410" s="17" t="n">
        <f aca="false">F410*(G410-H410)</f>
        <v>110</v>
      </c>
    </row>
    <row r="411" customFormat="false" ht="15" hidden="false" customHeight="false" outlineLevel="0" collapsed="false">
      <c r="A411" s="15" t="n">
        <v>46207</v>
      </c>
      <c r="B411" s="16" t="n">
        <f aca="false">MONTH(A411)</f>
        <v>7</v>
      </c>
      <c r="C411" s="16" t="s">
        <v>40</v>
      </c>
      <c r="D411" s="16" t="s">
        <v>36</v>
      </c>
      <c r="E411" s="16" t="s">
        <v>51</v>
      </c>
      <c r="F411" s="16" t="n">
        <v>7</v>
      </c>
      <c r="G411" s="17" t="n">
        <v>700</v>
      </c>
      <c r="H411" s="17" t="n">
        <v>480</v>
      </c>
      <c r="I411" s="17" t="n">
        <f aca="false">F411*G411</f>
        <v>4900</v>
      </c>
      <c r="J411" s="17" t="n">
        <f aca="false">F411*(G411-H411)</f>
        <v>1540</v>
      </c>
    </row>
    <row r="412" customFormat="false" ht="15" hidden="false" customHeight="false" outlineLevel="0" collapsed="false">
      <c r="A412" s="15" t="n">
        <v>46168</v>
      </c>
      <c r="B412" s="16" t="n">
        <f aca="false">MONTH(A412)</f>
        <v>5</v>
      </c>
      <c r="C412" s="16" t="s">
        <v>42</v>
      </c>
      <c r="D412" s="16" t="s">
        <v>30</v>
      </c>
      <c r="E412" s="16" t="s">
        <v>50</v>
      </c>
      <c r="F412" s="16" t="n">
        <v>11</v>
      </c>
      <c r="G412" s="17" t="n">
        <v>18500</v>
      </c>
      <c r="H412" s="17" t="n">
        <v>15000</v>
      </c>
      <c r="I412" s="17" t="n">
        <f aca="false">F412*G412</f>
        <v>203500</v>
      </c>
      <c r="J412" s="17" t="n">
        <f aca="false">F412*(G412-H412)</f>
        <v>38500</v>
      </c>
    </row>
    <row r="413" customFormat="false" ht="15" hidden="false" customHeight="false" outlineLevel="0" collapsed="false">
      <c r="A413" s="15" t="n">
        <v>46059</v>
      </c>
      <c r="B413" s="16" t="n">
        <f aca="false">MONTH(A413)</f>
        <v>2</v>
      </c>
      <c r="C413" s="16" t="s">
        <v>41</v>
      </c>
      <c r="D413" s="16" t="s">
        <v>32</v>
      </c>
      <c r="E413" s="16" t="s">
        <v>50</v>
      </c>
      <c r="F413" s="16" t="n">
        <v>6</v>
      </c>
      <c r="G413" s="17" t="n">
        <v>3800</v>
      </c>
      <c r="H413" s="17" t="n">
        <v>3000</v>
      </c>
      <c r="I413" s="17" t="n">
        <f aca="false">F413*G413</f>
        <v>22800</v>
      </c>
      <c r="J413" s="17" t="n">
        <f aca="false">F413*(G413-H413)</f>
        <v>4800</v>
      </c>
    </row>
    <row r="414" customFormat="false" ht="15" hidden="false" customHeight="false" outlineLevel="0" collapsed="false">
      <c r="A414" s="15" t="n">
        <v>46328</v>
      </c>
      <c r="B414" s="16" t="n">
        <f aca="false">MONTH(A414)</f>
        <v>11</v>
      </c>
      <c r="C414" s="16" t="s">
        <v>43</v>
      </c>
      <c r="D414" s="16" t="s">
        <v>31</v>
      </c>
      <c r="E414" s="16" t="s">
        <v>50</v>
      </c>
      <c r="F414" s="16" t="n">
        <v>6</v>
      </c>
      <c r="G414" s="17" t="n">
        <v>4200</v>
      </c>
      <c r="H414" s="17" t="n">
        <v>3300</v>
      </c>
      <c r="I414" s="17" t="n">
        <f aca="false">F414*G414</f>
        <v>25200</v>
      </c>
      <c r="J414" s="17" t="n">
        <f aca="false">F414*(G414-H414)</f>
        <v>5400</v>
      </c>
    </row>
    <row r="415" customFormat="false" ht="15" hidden="false" customHeight="false" outlineLevel="0" collapsed="false">
      <c r="A415" s="15" t="n">
        <v>46270</v>
      </c>
      <c r="B415" s="16" t="n">
        <f aca="false">MONTH(A415)</f>
        <v>9</v>
      </c>
      <c r="C415" s="16" t="s">
        <v>42</v>
      </c>
      <c r="D415" s="16" t="s">
        <v>31</v>
      </c>
      <c r="E415" s="16" t="s">
        <v>50</v>
      </c>
      <c r="F415" s="16" t="n">
        <v>2</v>
      </c>
      <c r="G415" s="17" t="n">
        <v>4200</v>
      </c>
      <c r="H415" s="17" t="n">
        <v>3300</v>
      </c>
      <c r="I415" s="17" t="n">
        <f aca="false">F415*G415</f>
        <v>8400</v>
      </c>
      <c r="J415" s="17" t="n">
        <f aca="false">F415*(G415-H415)</f>
        <v>1800</v>
      </c>
    </row>
    <row r="416" customFormat="false" ht="15" hidden="false" customHeight="false" outlineLevel="0" collapsed="false">
      <c r="A416" s="15" t="n">
        <v>46180</v>
      </c>
      <c r="B416" s="16" t="n">
        <f aca="false">MONTH(A416)</f>
        <v>6</v>
      </c>
      <c r="C416" s="16" t="s">
        <v>41</v>
      </c>
      <c r="D416" s="16" t="s">
        <v>36</v>
      </c>
      <c r="E416" s="16" t="s">
        <v>51</v>
      </c>
      <c r="F416" s="16" t="n">
        <v>7</v>
      </c>
      <c r="G416" s="17" t="n">
        <v>700</v>
      </c>
      <c r="H416" s="17" t="n">
        <v>480</v>
      </c>
      <c r="I416" s="17" t="n">
        <f aca="false">F416*G416</f>
        <v>4900</v>
      </c>
      <c r="J416" s="17" t="n">
        <f aca="false">F416*(G416-H416)</f>
        <v>1540</v>
      </c>
    </row>
    <row r="417" customFormat="false" ht="15" hidden="false" customHeight="false" outlineLevel="0" collapsed="false">
      <c r="A417" s="15" t="n">
        <v>46100</v>
      </c>
      <c r="B417" s="16" t="n">
        <f aca="false">MONTH(A417)</f>
        <v>3</v>
      </c>
      <c r="C417" s="16" t="s">
        <v>43</v>
      </c>
      <c r="D417" s="16" t="s">
        <v>36</v>
      </c>
      <c r="E417" s="16" t="s">
        <v>51</v>
      </c>
      <c r="F417" s="16" t="n">
        <v>10</v>
      </c>
      <c r="G417" s="17" t="n">
        <v>700</v>
      </c>
      <c r="H417" s="17" t="n">
        <v>480</v>
      </c>
      <c r="I417" s="17" t="n">
        <f aca="false">F417*G417</f>
        <v>7000</v>
      </c>
      <c r="J417" s="17" t="n">
        <f aca="false">F417*(G417-H417)</f>
        <v>2200</v>
      </c>
    </row>
    <row r="418" customFormat="false" ht="15" hidden="false" customHeight="false" outlineLevel="0" collapsed="false">
      <c r="A418" s="15" t="n">
        <v>46034</v>
      </c>
      <c r="B418" s="16" t="n">
        <f aca="false">MONTH(A418)</f>
        <v>1</v>
      </c>
      <c r="C418" s="16" t="s">
        <v>42</v>
      </c>
      <c r="D418" s="16" t="s">
        <v>33</v>
      </c>
      <c r="E418" s="16" t="s">
        <v>51</v>
      </c>
      <c r="F418" s="16" t="n">
        <v>9</v>
      </c>
      <c r="G418" s="17" t="n">
        <v>450</v>
      </c>
      <c r="H418" s="17" t="n">
        <v>280</v>
      </c>
      <c r="I418" s="17" t="n">
        <f aca="false">F418*G418</f>
        <v>4050</v>
      </c>
      <c r="J418" s="17" t="n">
        <f aca="false">F418*(G418-H418)</f>
        <v>1530</v>
      </c>
    </row>
    <row r="419" customFormat="false" ht="15" hidden="false" customHeight="false" outlineLevel="0" collapsed="false">
      <c r="A419" s="15" t="n">
        <v>46122</v>
      </c>
      <c r="B419" s="16" t="n">
        <f aca="false">MONTH(A419)</f>
        <v>4</v>
      </c>
      <c r="C419" s="16" t="s">
        <v>43</v>
      </c>
      <c r="D419" s="16" t="s">
        <v>32</v>
      </c>
      <c r="E419" s="16" t="s">
        <v>50</v>
      </c>
      <c r="F419" s="16" t="n">
        <v>10</v>
      </c>
      <c r="G419" s="17" t="n">
        <v>3800</v>
      </c>
      <c r="H419" s="17" t="n">
        <v>3000</v>
      </c>
      <c r="I419" s="17" t="n">
        <f aca="false">F419*G419</f>
        <v>38000</v>
      </c>
      <c r="J419" s="17" t="n">
        <f aca="false">F419*(G419-H419)</f>
        <v>8000</v>
      </c>
    </row>
    <row r="420" customFormat="false" ht="15" hidden="false" customHeight="false" outlineLevel="0" collapsed="false">
      <c r="A420" s="15" t="n">
        <v>46299</v>
      </c>
      <c r="B420" s="16" t="n">
        <f aca="false">MONTH(A420)</f>
        <v>10</v>
      </c>
      <c r="C420" s="16" t="s">
        <v>43</v>
      </c>
      <c r="D420" s="16" t="s">
        <v>33</v>
      </c>
      <c r="E420" s="16" t="s">
        <v>51</v>
      </c>
      <c r="F420" s="16" t="n">
        <v>11</v>
      </c>
      <c r="G420" s="17" t="n">
        <v>450</v>
      </c>
      <c r="H420" s="17" t="n">
        <v>280</v>
      </c>
      <c r="I420" s="17" t="n">
        <f aca="false">F420*G420</f>
        <v>4950</v>
      </c>
      <c r="J420" s="17" t="n">
        <f aca="false">F420*(G420-H420)</f>
        <v>1870</v>
      </c>
    </row>
    <row r="421" customFormat="false" ht="15" hidden="false" customHeight="false" outlineLevel="0" collapsed="false">
      <c r="A421" s="15" t="n">
        <v>46345</v>
      </c>
      <c r="B421" s="16" t="n">
        <f aca="false">MONTH(A421)</f>
        <v>11</v>
      </c>
      <c r="C421" s="16" t="s">
        <v>41</v>
      </c>
      <c r="D421" s="16" t="s">
        <v>31</v>
      </c>
      <c r="E421" s="16" t="s">
        <v>50</v>
      </c>
      <c r="F421" s="16" t="n">
        <v>2</v>
      </c>
      <c r="G421" s="17" t="n">
        <v>4200</v>
      </c>
      <c r="H421" s="17" t="n">
        <v>3300</v>
      </c>
      <c r="I421" s="17" t="n">
        <f aca="false">F421*G421</f>
        <v>8400</v>
      </c>
      <c r="J421" s="17" t="n">
        <f aca="false">F421*(G421-H421)</f>
        <v>1800</v>
      </c>
    </row>
    <row r="422" customFormat="false" ht="15" hidden="false" customHeight="false" outlineLevel="0" collapsed="false">
      <c r="A422" s="15" t="n">
        <v>46250</v>
      </c>
      <c r="B422" s="16" t="n">
        <f aca="false">MONTH(A422)</f>
        <v>8</v>
      </c>
      <c r="C422" s="16" t="s">
        <v>43</v>
      </c>
      <c r="D422" s="16" t="s">
        <v>36</v>
      </c>
      <c r="E422" s="16" t="s">
        <v>51</v>
      </c>
      <c r="F422" s="16" t="n">
        <v>6</v>
      </c>
      <c r="G422" s="17" t="n">
        <v>700</v>
      </c>
      <c r="H422" s="17" t="n">
        <v>480</v>
      </c>
      <c r="I422" s="17" t="n">
        <f aca="false">F422*G422</f>
        <v>4200</v>
      </c>
      <c r="J422" s="17" t="n">
        <f aca="false">F422*(G422-H422)</f>
        <v>1320</v>
      </c>
    </row>
    <row r="423" customFormat="false" ht="15" hidden="false" customHeight="false" outlineLevel="0" collapsed="false">
      <c r="A423" s="15" t="n">
        <v>46255</v>
      </c>
      <c r="B423" s="16" t="n">
        <f aca="false">MONTH(A423)</f>
        <v>8</v>
      </c>
      <c r="C423" s="16" t="s">
        <v>40</v>
      </c>
      <c r="D423" s="16" t="s">
        <v>35</v>
      </c>
      <c r="E423" s="16" t="s">
        <v>52</v>
      </c>
      <c r="F423" s="16" t="n">
        <v>10</v>
      </c>
      <c r="G423" s="17" t="n">
        <v>900</v>
      </c>
      <c r="H423" s="17" t="n">
        <v>650</v>
      </c>
      <c r="I423" s="17" t="n">
        <f aca="false">F423*G423</f>
        <v>9000</v>
      </c>
      <c r="J423" s="17" t="n">
        <f aca="false">F423*(G423-H423)</f>
        <v>2500</v>
      </c>
    </row>
    <row r="424" customFormat="false" ht="15" hidden="false" customHeight="false" outlineLevel="0" collapsed="false">
      <c r="A424" s="15" t="n">
        <v>46177</v>
      </c>
      <c r="B424" s="16" t="n">
        <f aca="false">MONTH(A424)</f>
        <v>6</v>
      </c>
      <c r="C424" s="16" t="s">
        <v>40</v>
      </c>
      <c r="D424" s="16" t="s">
        <v>36</v>
      </c>
      <c r="E424" s="16" t="s">
        <v>51</v>
      </c>
      <c r="F424" s="16" t="n">
        <v>5</v>
      </c>
      <c r="G424" s="17" t="n">
        <v>700</v>
      </c>
      <c r="H424" s="17" t="n">
        <v>480</v>
      </c>
      <c r="I424" s="17" t="n">
        <f aca="false">F424*G424</f>
        <v>3500</v>
      </c>
      <c r="J424" s="17" t="n">
        <f aca="false">F424*(G424-H424)</f>
        <v>1100</v>
      </c>
    </row>
    <row r="425" customFormat="false" ht="15" hidden="false" customHeight="false" outlineLevel="0" collapsed="false">
      <c r="A425" s="15" t="n">
        <v>46122</v>
      </c>
      <c r="B425" s="16" t="n">
        <f aca="false">MONTH(A425)</f>
        <v>4</v>
      </c>
      <c r="C425" s="16" t="s">
        <v>40</v>
      </c>
      <c r="D425" s="16" t="s">
        <v>31</v>
      </c>
      <c r="E425" s="16" t="s">
        <v>50</v>
      </c>
      <c r="F425" s="16" t="n">
        <v>2</v>
      </c>
      <c r="G425" s="17" t="n">
        <v>4200</v>
      </c>
      <c r="H425" s="17" t="n">
        <v>3300</v>
      </c>
      <c r="I425" s="17" t="n">
        <f aca="false">F425*G425</f>
        <v>8400</v>
      </c>
      <c r="J425" s="17" t="n">
        <f aca="false">F425*(G425-H425)</f>
        <v>1800</v>
      </c>
    </row>
    <row r="426" customFormat="false" ht="15" hidden="false" customHeight="false" outlineLevel="0" collapsed="false">
      <c r="A426" s="15" t="n">
        <v>46024</v>
      </c>
      <c r="B426" s="16" t="n">
        <f aca="false">MONTH(A426)</f>
        <v>1</v>
      </c>
      <c r="C426" s="16" t="s">
        <v>42</v>
      </c>
      <c r="D426" s="16" t="s">
        <v>31</v>
      </c>
      <c r="E426" s="16" t="s">
        <v>50</v>
      </c>
      <c r="F426" s="16" t="n">
        <v>1</v>
      </c>
      <c r="G426" s="17" t="n">
        <v>4200</v>
      </c>
      <c r="H426" s="17" t="n">
        <v>3300</v>
      </c>
      <c r="I426" s="17" t="n">
        <f aca="false">F426*G426</f>
        <v>4200</v>
      </c>
      <c r="J426" s="17" t="n">
        <f aca="false">F426*(G426-H426)</f>
        <v>900</v>
      </c>
    </row>
    <row r="427" customFormat="false" ht="15" hidden="false" customHeight="false" outlineLevel="0" collapsed="false">
      <c r="A427" s="15" t="n">
        <v>46073</v>
      </c>
      <c r="B427" s="16" t="n">
        <f aca="false">MONTH(A427)</f>
        <v>2</v>
      </c>
      <c r="C427" s="16" t="s">
        <v>42</v>
      </c>
      <c r="D427" s="16" t="s">
        <v>33</v>
      </c>
      <c r="E427" s="16" t="s">
        <v>51</v>
      </c>
      <c r="F427" s="16" t="n">
        <v>9</v>
      </c>
      <c r="G427" s="17" t="n">
        <v>450</v>
      </c>
      <c r="H427" s="17" t="n">
        <v>280</v>
      </c>
      <c r="I427" s="17" t="n">
        <f aca="false">F427*G427</f>
        <v>4050</v>
      </c>
      <c r="J427" s="17" t="n">
        <f aca="false">F427*(G427-H427)</f>
        <v>1530</v>
      </c>
    </row>
    <row r="428" customFormat="false" ht="15" hidden="false" customHeight="false" outlineLevel="0" collapsed="false">
      <c r="A428" s="15" t="n">
        <v>46336</v>
      </c>
      <c r="B428" s="16" t="n">
        <f aca="false">MONTH(A428)</f>
        <v>11</v>
      </c>
      <c r="C428" s="16" t="s">
        <v>40</v>
      </c>
      <c r="D428" s="16" t="s">
        <v>34</v>
      </c>
      <c r="E428" s="16" t="s">
        <v>51</v>
      </c>
      <c r="F428" s="16" t="n">
        <v>4</v>
      </c>
      <c r="G428" s="17" t="n">
        <v>250</v>
      </c>
      <c r="H428" s="17" t="n">
        <v>140</v>
      </c>
      <c r="I428" s="17" t="n">
        <f aca="false">F428*G428</f>
        <v>1000</v>
      </c>
      <c r="J428" s="17" t="n">
        <f aca="false">F428*(G428-H428)</f>
        <v>440</v>
      </c>
    </row>
    <row r="429" customFormat="false" ht="15" hidden="false" customHeight="false" outlineLevel="0" collapsed="false">
      <c r="A429" s="15" t="n">
        <v>46333</v>
      </c>
      <c r="B429" s="16" t="n">
        <f aca="false">MONTH(A429)</f>
        <v>11</v>
      </c>
      <c r="C429" s="16" t="s">
        <v>43</v>
      </c>
      <c r="D429" s="16" t="s">
        <v>32</v>
      </c>
      <c r="E429" s="16" t="s">
        <v>50</v>
      </c>
      <c r="F429" s="16" t="n">
        <v>1</v>
      </c>
      <c r="G429" s="17" t="n">
        <v>3800</v>
      </c>
      <c r="H429" s="17" t="n">
        <v>3000</v>
      </c>
      <c r="I429" s="17" t="n">
        <f aca="false">F429*G429</f>
        <v>3800</v>
      </c>
      <c r="J429" s="17" t="n">
        <f aca="false">F429*(G429-H429)</f>
        <v>800</v>
      </c>
    </row>
    <row r="430" customFormat="false" ht="15" hidden="false" customHeight="false" outlineLevel="0" collapsed="false">
      <c r="A430" s="15" t="n">
        <v>46340</v>
      </c>
      <c r="B430" s="16" t="n">
        <f aca="false">MONTH(A430)</f>
        <v>11</v>
      </c>
      <c r="C430" s="16" t="s">
        <v>43</v>
      </c>
      <c r="D430" s="16" t="s">
        <v>32</v>
      </c>
      <c r="E430" s="16" t="s">
        <v>50</v>
      </c>
      <c r="F430" s="16" t="n">
        <v>3</v>
      </c>
      <c r="G430" s="17" t="n">
        <v>3800</v>
      </c>
      <c r="H430" s="17" t="n">
        <v>3000</v>
      </c>
      <c r="I430" s="17" t="n">
        <f aca="false">F430*G430</f>
        <v>11400</v>
      </c>
      <c r="J430" s="17" t="n">
        <f aca="false">F430*(G430-H430)</f>
        <v>2400</v>
      </c>
    </row>
    <row r="431" customFormat="false" ht="15" hidden="false" customHeight="false" outlineLevel="0" collapsed="false">
      <c r="A431" s="15" t="n">
        <v>46037</v>
      </c>
      <c r="B431" s="16" t="n">
        <f aca="false">MONTH(A431)</f>
        <v>1</v>
      </c>
      <c r="C431" s="16" t="s">
        <v>41</v>
      </c>
      <c r="D431" s="16" t="s">
        <v>33</v>
      </c>
      <c r="E431" s="16" t="s">
        <v>51</v>
      </c>
      <c r="F431" s="16" t="n">
        <v>9</v>
      </c>
      <c r="G431" s="17" t="n">
        <v>450</v>
      </c>
      <c r="H431" s="17" t="n">
        <v>280</v>
      </c>
      <c r="I431" s="17" t="n">
        <f aca="false">F431*G431</f>
        <v>4050</v>
      </c>
      <c r="J431" s="17" t="n">
        <f aca="false">F431*(G431-H431)</f>
        <v>1530</v>
      </c>
    </row>
    <row r="432" customFormat="false" ht="15" hidden="false" customHeight="false" outlineLevel="0" collapsed="false">
      <c r="A432" s="15" t="n">
        <v>46262</v>
      </c>
      <c r="B432" s="16" t="n">
        <f aca="false">MONTH(A432)</f>
        <v>8</v>
      </c>
      <c r="C432" s="16" t="s">
        <v>41</v>
      </c>
      <c r="D432" s="16" t="s">
        <v>34</v>
      </c>
      <c r="E432" s="16" t="s">
        <v>51</v>
      </c>
      <c r="F432" s="16" t="n">
        <v>8</v>
      </c>
      <c r="G432" s="17" t="n">
        <v>250</v>
      </c>
      <c r="H432" s="17" t="n">
        <v>140</v>
      </c>
      <c r="I432" s="17" t="n">
        <f aca="false">F432*G432</f>
        <v>2000</v>
      </c>
      <c r="J432" s="17" t="n">
        <f aca="false">F432*(G432-H432)</f>
        <v>880</v>
      </c>
    </row>
    <row r="433" customFormat="false" ht="15" hidden="false" customHeight="false" outlineLevel="0" collapsed="false">
      <c r="A433" s="15" t="n">
        <v>46091</v>
      </c>
      <c r="B433" s="16" t="n">
        <f aca="false">MONTH(A433)</f>
        <v>3</v>
      </c>
      <c r="C433" s="16" t="s">
        <v>42</v>
      </c>
      <c r="D433" s="16" t="s">
        <v>36</v>
      </c>
      <c r="E433" s="16" t="s">
        <v>51</v>
      </c>
      <c r="F433" s="16" t="n">
        <v>4</v>
      </c>
      <c r="G433" s="17" t="n">
        <v>700</v>
      </c>
      <c r="H433" s="17" t="n">
        <v>480</v>
      </c>
      <c r="I433" s="17" t="n">
        <f aca="false">F433*G433</f>
        <v>2800</v>
      </c>
      <c r="J433" s="17" t="n">
        <f aca="false">F433*(G433-H433)</f>
        <v>880</v>
      </c>
    </row>
    <row r="434" customFormat="false" ht="15" hidden="false" customHeight="false" outlineLevel="0" collapsed="false">
      <c r="A434" s="15" t="n">
        <v>46149</v>
      </c>
      <c r="B434" s="16" t="n">
        <f aca="false">MONTH(A434)</f>
        <v>5</v>
      </c>
      <c r="C434" s="16" t="s">
        <v>41</v>
      </c>
      <c r="D434" s="16" t="s">
        <v>31</v>
      </c>
      <c r="E434" s="16" t="s">
        <v>50</v>
      </c>
      <c r="F434" s="16" t="n">
        <v>3</v>
      </c>
      <c r="G434" s="17" t="n">
        <v>4200</v>
      </c>
      <c r="H434" s="17" t="n">
        <v>3300</v>
      </c>
      <c r="I434" s="17" t="n">
        <f aca="false">F434*G434</f>
        <v>12600</v>
      </c>
      <c r="J434" s="17" t="n">
        <f aca="false">F434*(G434-H434)</f>
        <v>2700</v>
      </c>
    </row>
    <row r="435" customFormat="false" ht="15" hidden="false" customHeight="false" outlineLevel="0" collapsed="false">
      <c r="A435" s="15" t="n">
        <v>46213</v>
      </c>
      <c r="B435" s="16" t="n">
        <f aca="false">MONTH(A435)</f>
        <v>7</v>
      </c>
      <c r="C435" s="16" t="s">
        <v>41</v>
      </c>
      <c r="D435" s="16" t="s">
        <v>32</v>
      </c>
      <c r="E435" s="16" t="s">
        <v>50</v>
      </c>
      <c r="F435" s="16" t="n">
        <v>10</v>
      </c>
      <c r="G435" s="17" t="n">
        <v>3800</v>
      </c>
      <c r="H435" s="17" t="n">
        <v>3000</v>
      </c>
      <c r="I435" s="17" t="n">
        <f aca="false">F435*G435</f>
        <v>38000</v>
      </c>
      <c r="J435" s="17" t="n">
        <f aca="false">F435*(G435-H435)</f>
        <v>8000</v>
      </c>
    </row>
    <row r="436" customFormat="false" ht="15" hidden="false" customHeight="false" outlineLevel="0" collapsed="false">
      <c r="A436" s="15" t="n">
        <v>46282</v>
      </c>
      <c r="B436" s="16" t="n">
        <f aca="false">MONTH(A436)</f>
        <v>9</v>
      </c>
      <c r="C436" s="16" t="s">
        <v>43</v>
      </c>
      <c r="D436" s="16" t="s">
        <v>33</v>
      </c>
      <c r="E436" s="16" t="s">
        <v>51</v>
      </c>
      <c r="F436" s="16" t="n">
        <v>1</v>
      </c>
      <c r="G436" s="17" t="n">
        <v>450</v>
      </c>
      <c r="H436" s="17" t="n">
        <v>280</v>
      </c>
      <c r="I436" s="17" t="n">
        <f aca="false">F436*G436</f>
        <v>450</v>
      </c>
      <c r="J436" s="17" t="n">
        <f aca="false">F436*(G436-H436)</f>
        <v>170</v>
      </c>
    </row>
    <row r="437" customFormat="false" ht="15" hidden="false" customHeight="false" outlineLevel="0" collapsed="false">
      <c r="A437" s="15" t="n">
        <v>46308</v>
      </c>
      <c r="B437" s="16" t="n">
        <f aca="false">MONTH(A437)</f>
        <v>10</v>
      </c>
      <c r="C437" s="16" t="s">
        <v>40</v>
      </c>
      <c r="D437" s="16" t="s">
        <v>36</v>
      </c>
      <c r="E437" s="16" t="s">
        <v>51</v>
      </c>
      <c r="F437" s="16" t="n">
        <v>4</v>
      </c>
      <c r="G437" s="17" t="n">
        <v>700</v>
      </c>
      <c r="H437" s="17" t="n">
        <v>480</v>
      </c>
      <c r="I437" s="17" t="n">
        <f aca="false">F437*G437</f>
        <v>2800</v>
      </c>
      <c r="J437" s="17" t="n">
        <f aca="false">F437*(G437-H437)</f>
        <v>880</v>
      </c>
    </row>
    <row r="438" customFormat="false" ht="15" hidden="false" customHeight="false" outlineLevel="0" collapsed="false">
      <c r="A438" s="15" t="n">
        <v>46314</v>
      </c>
      <c r="B438" s="16" t="n">
        <f aca="false">MONTH(A438)</f>
        <v>10</v>
      </c>
      <c r="C438" s="16" t="s">
        <v>40</v>
      </c>
      <c r="D438" s="16" t="s">
        <v>33</v>
      </c>
      <c r="E438" s="16" t="s">
        <v>51</v>
      </c>
      <c r="F438" s="16" t="n">
        <v>8</v>
      </c>
      <c r="G438" s="17" t="n">
        <v>450</v>
      </c>
      <c r="H438" s="17" t="n">
        <v>280</v>
      </c>
      <c r="I438" s="17" t="n">
        <f aca="false">F438*G438</f>
        <v>3600</v>
      </c>
      <c r="J438" s="17" t="n">
        <f aca="false">F438*(G438-H438)</f>
        <v>1360</v>
      </c>
    </row>
    <row r="439" customFormat="false" ht="15" hidden="false" customHeight="false" outlineLevel="0" collapsed="false">
      <c r="A439" s="15" t="n">
        <v>46206</v>
      </c>
      <c r="B439" s="16" t="n">
        <f aca="false">MONTH(A439)</f>
        <v>7</v>
      </c>
      <c r="C439" s="16" t="s">
        <v>41</v>
      </c>
      <c r="D439" s="16" t="s">
        <v>30</v>
      </c>
      <c r="E439" s="16" t="s">
        <v>50</v>
      </c>
      <c r="F439" s="16" t="n">
        <v>6</v>
      </c>
      <c r="G439" s="17" t="n">
        <v>18500</v>
      </c>
      <c r="H439" s="17" t="n">
        <v>15000</v>
      </c>
      <c r="I439" s="17" t="n">
        <f aca="false">F439*G439</f>
        <v>111000</v>
      </c>
      <c r="J439" s="17" t="n">
        <f aca="false">F439*(G439-H439)</f>
        <v>21000</v>
      </c>
    </row>
    <row r="440" customFormat="false" ht="15" hidden="false" customHeight="false" outlineLevel="0" collapsed="false">
      <c r="A440" s="15" t="n">
        <v>46140</v>
      </c>
      <c r="B440" s="16" t="n">
        <f aca="false">MONTH(A440)</f>
        <v>4</v>
      </c>
      <c r="C440" s="16" t="s">
        <v>43</v>
      </c>
      <c r="D440" s="16" t="s">
        <v>33</v>
      </c>
      <c r="E440" s="16" t="s">
        <v>51</v>
      </c>
      <c r="F440" s="16" t="n">
        <v>3</v>
      </c>
      <c r="G440" s="17" t="n">
        <v>450</v>
      </c>
      <c r="H440" s="17" t="n">
        <v>280</v>
      </c>
      <c r="I440" s="17" t="n">
        <f aca="false">F440*G440</f>
        <v>1350</v>
      </c>
      <c r="J440" s="17" t="n">
        <f aca="false">F440*(G440-H440)</f>
        <v>510</v>
      </c>
    </row>
    <row r="441" customFormat="false" ht="15" hidden="false" customHeight="false" outlineLevel="0" collapsed="false">
      <c r="A441" s="15" t="n">
        <v>46212</v>
      </c>
      <c r="B441" s="16" t="n">
        <f aca="false">MONTH(A441)</f>
        <v>7</v>
      </c>
      <c r="C441" s="16" t="s">
        <v>40</v>
      </c>
      <c r="D441" s="16" t="s">
        <v>30</v>
      </c>
      <c r="E441" s="16" t="s">
        <v>50</v>
      </c>
      <c r="F441" s="16" t="n">
        <v>10</v>
      </c>
      <c r="G441" s="17" t="n">
        <v>18500</v>
      </c>
      <c r="H441" s="17" t="n">
        <v>15000</v>
      </c>
      <c r="I441" s="17" t="n">
        <f aca="false">F441*G441</f>
        <v>185000</v>
      </c>
      <c r="J441" s="17" t="n">
        <f aca="false">F441*(G441-H441)</f>
        <v>35000</v>
      </c>
    </row>
    <row r="442" customFormat="false" ht="15" hidden="false" customHeight="false" outlineLevel="0" collapsed="false">
      <c r="A442" s="15" t="n">
        <v>46219</v>
      </c>
      <c r="B442" s="16" t="n">
        <f aca="false">MONTH(A442)</f>
        <v>7</v>
      </c>
      <c r="C442" s="16" t="s">
        <v>40</v>
      </c>
      <c r="D442" s="16" t="s">
        <v>30</v>
      </c>
      <c r="E442" s="16" t="s">
        <v>50</v>
      </c>
      <c r="F442" s="16" t="n">
        <v>9</v>
      </c>
      <c r="G442" s="17" t="n">
        <v>18500</v>
      </c>
      <c r="H442" s="17" t="n">
        <v>15000</v>
      </c>
      <c r="I442" s="17" t="n">
        <f aca="false">F442*G442</f>
        <v>166500</v>
      </c>
      <c r="J442" s="17" t="n">
        <f aca="false">F442*(G442-H442)</f>
        <v>31500</v>
      </c>
    </row>
    <row r="443" customFormat="false" ht="15" hidden="false" customHeight="false" outlineLevel="0" collapsed="false">
      <c r="A443" s="15" t="n">
        <v>46089</v>
      </c>
      <c r="B443" s="16" t="n">
        <f aca="false">MONTH(A443)</f>
        <v>3</v>
      </c>
      <c r="C443" s="16" t="s">
        <v>40</v>
      </c>
      <c r="D443" s="16" t="s">
        <v>36</v>
      </c>
      <c r="E443" s="16" t="s">
        <v>51</v>
      </c>
      <c r="F443" s="16" t="n">
        <v>11</v>
      </c>
      <c r="G443" s="17" t="n">
        <v>700</v>
      </c>
      <c r="H443" s="17" t="n">
        <v>480</v>
      </c>
      <c r="I443" s="17" t="n">
        <f aca="false">F443*G443</f>
        <v>7700</v>
      </c>
      <c r="J443" s="17" t="n">
        <f aca="false">F443*(G443-H443)</f>
        <v>2420</v>
      </c>
    </row>
    <row r="444" customFormat="false" ht="15" hidden="false" customHeight="false" outlineLevel="0" collapsed="false">
      <c r="A444" s="15" t="n">
        <v>46117</v>
      </c>
      <c r="B444" s="16" t="n">
        <f aca="false">MONTH(A444)</f>
        <v>4</v>
      </c>
      <c r="C444" s="16" t="s">
        <v>42</v>
      </c>
      <c r="D444" s="16" t="s">
        <v>36</v>
      </c>
      <c r="E444" s="16" t="s">
        <v>51</v>
      </c>
      <c r="F444" s="16" t="n">
        <v>12</v>
      </c>
      <c r="G444" s="17" t="n">
        <v>700</v>
      </c>
      <c r="H444" s="17" t="n">
        <v>480</v>
      </c>
      <c r="I444" s="17" t="n">
        <f aca="false">F444*G444</f>
        <v>8400</v>
      </c>
      <c r="J444" s="17" t="n">
        <f aca="false">F444*(G444-H444)</f>
        <v>2640</v>
      </c>
    </row>
    <row r="445" customFormat="false" ht="15" hidden="false" customHeight="false" outlineLevel="0" collapsed="false">
      <c r="A445" s="15" t="n">
        <v>46171</v>
      </c>
      <c r="B445" s="16" t="n">
        <f aca="false">MONTH(A445)</f>
        <v>5</v>
      </c>
      <c r="C445" s="16" t="s">
        <v>42</v>
      </c>
      <c r="D445" s="16" t="s">
        <v>32</v>
      </c>
      <c r="E445" s="16" t="s">
        <v>50</v>
      </c>
      <c r="F445" s="16" t="n">
        <v>10</v>
      </c>
      <c r="G445" s="17" t="n">
        <v>3800</v>
      </c>
      <c r="H445" s="17" t="n">
        <v>3000</v>
      </c>
      <c r="I445" s="17" t="n">
        <f aca="false">F445*G445</f>
        <v>38000</v>
      </c>
      <c r="J445" s="17" t="n">
        <f aca="false">F445*(G445-H445)</f>
        <v>8000</v>
      </c>
    </row>
    <row r="446" customFormat="false" ht="15" hidden="false" customHeight="false" outlineLevel="0" collapsed="false">
      <c r="A446" s="15" t="n">
        <v>46097</v>
      </c>
      <c r="B446" s="16" t="n">
        <f aca="false">MONTH(A446)</f>
        <v>3</v>
      </c>
      <c r="C446" s="16" t="s">
        <v>41</v>
      </c>
      <c r="D446" s="16" t="s">
        <v>34</v>
      </c>
      <c r="E446" s="16" t="s">
        <v>51</v>
      </c>
      <c r="F446" s="16" t="n">
        <v>9</v>
      </c>
      <c r="G446" s="17" t="n">
        <v>250</v>
      </c>
      <c r="H446" s="17" t="n">
        <v>140</v>
      </c>
      <c r="I446" s="17" t="n">
        <f aca="false">F446*G446</f>
        <v>2250</v>
      </c>
      <c r="J446" s="17" t="n">
        <f aca="false">F446*(G446-H446)</f>
        <v>990</v>
      </c>
    </row>
    <row r="447" customFormat="false" ht="15" hidden="false" customHeight="false" outlineLevel="0" collapsed="false">
      <c r="A447" s="15" t="n">
        <v>46185</v>
      </c>
      <c r="B447" s="16" t="n">
        <f aca="false">MONTH(A447)</f>
        <v>6</v>
      </c>
      <c r="C447" s="16" t="s">
        <v>43</v>
      </c>
      <c r="D447" s="16" t="s">
        <v>32</v>
      </c>
      <c r="E447" s="16" t="s">
        <v>50</v>
      </c>
      <c r="F447" s="16" t="n">
        <v>12</v>
      </c>
      <c r="G447" s="17" t="n">
        <v>3800</v>
      </c>
      <c r="H447" s="17" t="n">
        <v>3000</v>
      </c>
      <c r="I447" s="17" t="n">
        <f aca="false">F447*G447</f>
        <v>45600</v>
      </c>
      <c r="J447" s="17" t="n">
        <f aca="false">F447*(G447-H447)</f>
        <v>9600</v>
      </c>
    </row>
    <row r="448" customFormat="false" ht="15" hidden="false" customHeight="false" outlineLevel="0" collapsed="false">
      <c r="A448" s="15" t="n">
        <v>46023</v>
      </c>
      <c r="B448" s="16" t="n">
        <f aca="false">MONTH(A448)</f>
        <v>1</v>
      </c>
      <c r="C448" s="16" t="s">
        <v>42</v>
      </c>
      <c r="D448" s="16" t="s">
        <v>34</v>
      </c>
      <c r="E448" s="16" t="s">
        <v>51</v>
      </c>
      <c r="F448" s="16" t="n">
        <v>1</v>
      </c>
      <c r="G448" s="17" t="n">
        <v>250</v>
      </c>
      <c r="H448" s="17" t="n">
        <v>140</v>
      </c>
      <c r="I448" s="17" t="n">
        <f aca="false">F448*G448</f>
        <v>250</v>
      </c>
      <c r="J448" s="17" t="n">
        <f aca="false">F448*(G448-H448)</f>
        <v>110</v>
      </c>
    </row>
    <row r="449" customFormat="false" ht="15" hidden="false" customHeight="false" outlineLevel="0" collapsed="false">
      <c r="A449" s="15" t="n">
        <v>46375</v>
      </c>
      <c r="B449" s="16" t="n">
        <f aca="false">MONTH(A449)</f>
        <v>12</v>
      </c>
      <c r="C449" s="16" t="s">
        <v>43</v>
      </c>
      <c r="D449" s="16" t="s">
        <v>34</v>
      </c>
      <c r="E449" s="16" t="s">
        <v>51</v>
      </c>
      <c r="F449" s="16" t="n">
        <v>8</v>
      </c>
      <c r="G449" s="17" t="n">
        <v>250</v>
      </c>
      <c r="H449" s="17" t="n">
        <v>140</v>
      </c>
      <c r="I449" s="17" t="n">
        <f aca="false">F449*G449</f>
        <v>2000</v>
      </c>
      <c r="J449" s="17" t="n">
        <f aca="false">F449*(G449-H449)</f>
        <v>880</v>
      </c>
    </row>
    <row r="450" customFormat="false" ht="15" hidden="false" customHeight="false" outlineLevel="0" collapsed="false">
      <c r="A450" s="15" t="n">
        <v>46074</v>
      </c>
      <c r="B450" s="16" t="n">
        <f aca="false">MONTH(A450)</f>
        <v>2</v>
      </c>
      <c r="C450" s="16" t="s">
        <v>42</v>
      </c>
      <c r="D450" s="16" t="s">
        <v>32</v>
      </c>
      <c r="E450" s="16" t="s">
        <v>50</v>
      </c>
      <c r="F450" s="16" t="n">
        <v>2</v>
      </c>
      <c r="G450" s="17" t="n">
        <v>3800</v>
      </c>
      <c r="H450" s="17" t="n">
        <v>3000</v>
      </c>
      <c r="I450" s="17" t="n">
        <f aca="false">F450*G450</f>
        <v>7600</v>
      </c>
      <c r="J450" s="17" t="n">
        <f aca="false">F450*(G450-H450)</f>
        <v>1600</v>
      </c>
    </row>
    <row r="451" customFormat="false" ht="15" hidden="false" customHeight="false" outlineLevel="0" collapsed="false">
      <c r="A451" s="15" t="n">
        <v>46188</v>
      </c>
      <c r="B451" s="16" t="n">
        <f aca="false">MONTH(A451)</f>
        <v>6</v>
      </c>
      <c r="C451" s="16" t="s">
        <v>40</v>
      </c>
      <c r="D451" s="16" t="s">
        <v>32</v>
      </c>
      <c r="E451" s="16" t="s">
        <v>50</v>
      </c>
      <c r="F451" s="16" t="n">
        <v>9</v>
      </c>
      <c r="G451" s="17" t="n">
        <v>3800</v>
      </c>
      <c r="H451" s="17" t="n">
        <v>3000</v>
      </c>
      <c r="I451" s="17" t="n">
        <f aca="false">F451*G451</f>
        <v>34200</v>
      </c>
      <c r="J451" s="17" t="n">
        <f aca="false">F451*(G451-H451)</f>
        <v>7200</v>
      </c>
    </row>
    <row r="452" customFormat="false" ht="15" hidden="false" customHeight="false" outlineLevel="0" collapsed="false">
      <c r="A452" s="15" t="n">
        <v>46262</v>
      </c>
      <c r="B452" s="16" t="n">
        <f aca="false">MONTH(A452)</f>
        <v>8</v>
      </c>
      <c r="C452" s="16" t="s">
        <v>42</v>
      </c>
      <c r="D452" s="16" t="s">
        <v>33</v>
      </c>
      <c r="E452" s="16" t="s">
        <v>51</v>
      </c>
      <c r="F452" s="16" t="n">
        <v>7</v>
      </c>
      <c r="G452" s="17" t="n">
        <v>450</v>
      </c>
      <c r="H452" s="17" t="n">
        <v>280</v>
      </c>
      <c r="I452" s="17" t="n">
        <f aca="false">F452*G452</f>
        <v>3150</v>
      </c>
      <c r="J452" s="17" t="n">
        <f aca="false">F452*(G452-H452)</f>
        <v>1190</v>
      </c>
    </row>
    <row r="453" customFormat="false" ht="15" hidden="false" customHeight="false" outlineLevel="0" collapsed="false">
      <c r="A453" s="15" t="n">
        <v>46063</v>
      </c>
      <c r="B453" s="16" t="n">
        <f aca="false">MONTH(A453)</f>
        <v>2</v>
      </c>
      <c r="C453" s="16" t="s">
        <v>40</v>
      </c>
      <c r="D453" s="16" t="s">
        <v>31</v>
      </c>
      <c r="E453" s="16" t="s">
        <v>50</v>
      </c>
      <c r="F453" s="16" t="n">
        <v>4</v>
      </c>
      <c r="G453" s="17" t="n">
        <v>4200</v>
      </c>
      <c r="H453" s="17" t="n">
        <v>3300</v>
      </c>
      <c r="I453" s="17" t="n">
        <f aca="false">F453*G453</f>
        <v>16800</v>
      </c>
      <c r="J453" s="17" t="n">
        <f aca="false">F453*(G453-H453)</f>
        <v>3600</v>
      </c>
    </row>
    <row r="454" customFormat="false" ht="15" hidden="false" customHeight="false" outlineLevel="0" collapsed="false">
      <c r="A454" s="15" t="n">
        <v>46028</v>
      </c>
      <c r="B454" s="16" t="n">
        <f aca="false">MONTH(A454)</f>
        <v>1</v>
      </c>
      <c r="C454" s="16" t="s">
        <v>41</v>
      </c>
      <c r="D454" s="16" t="s">
        <v>30</v>
      </c>
      <c r="E454" s="16" t="s">
        <v>50</v>
      </c>
      <c r="F454" s="16" t="n">
        <v>2</v>
      </c>
      <c r="G454" s="17" t="n">
        <v>18500</v>
      </c>
      <c r="H454" s="17" t="n">
        <v>15000</v>
      </c>
      <c r="I454" s="17" t="n">
        <f aca="false">F454*G454</f>
        <v>37000</v>
      </c>
      <c r="J454" s="17" t="n">
        <f aca="false">F454*(G454-H454)</f>
        <v>7000</v>
      </c>
    </row>
    <row r="455" customFormat="false" ht="15" hidden="false" customHeight="false" outlineLevel="0" collapsed="false">
      <c r="A455" s="15" t="n">
        <v>46271</v>
      </c>
      <c r="B455" s="16" t="n">
        <f aca="false">MONTH(A455)</f>
        <v>9</v>
      </c>
      <c r="C455" s="16" t="s">
        <v>43</v>
      </c>
      <c r="D455" s="16" t="s">
        <v>30</v>
      </c>
      <c r="E455" s="16" t="s">
        <v>50</v>
      </c>
      <c r="F455" s="16" t="n">
        <v>11</v>
      </c>
      <c r="G455" s="17" t="n">
        <v>18500</v>
      </c>
      <c r="H455" s="17" t="n">
        <v>15000</v>
      </c>
      <c r="I455" s="17" t="n">
        <f aca="false">F455*G455</f>
        <v>203500</v>
      </c>
      <c r="J455" s="17" t="n">
        <f aca="false">F455*(G455-H455)</f>
        <v>38500</v>
      </c>
    </row>
    <row r="456" customFormat="false" ht="15" hidden="false" customHeight="false" outlineLevel="0" collapsed="false">
      <c r="A456" s="15" t="n">
        <v>46179</v>
      </c>
      <c r="B456" s="16" t="n">
        <f aca="false">MONTH(A456)</f>
        <v>6</v>
      </c>
      <c r="C456" s="16" t="s">
        <v>43</v>
      </c>
      <c r="D456" s="16" t="s">
        <v>34</v>
      </c>
      <c r="E456" s="16" t="s">
        <v>51</v>
      </c>
      <c r="F456" s="16" t="n">
        <v>7</v>
      </c>
      <c r="G456" s="17" t="n">
        <v>250</v>
      </c>
      <c r="H456" s="17" t="n">
        <v>140</v>
      </c>
      <c r="I456" s="17" t="n">
        <f aca="false">F456*G456</f>
        <v>1750</v>
      </c>
      <c r="J456" s="17" t="n">
        <f aca="false">F456*(G456-H456)</f>
        <v>770</v>
      </c>
    </row>
    <row r="457" customFormat="false" ht="15" hidden="false" customHeight="false" outlineLevel="0" collapsed="false">
      <c r="A457" s="15" t="n">
        <v>46243</v>
      </c>
      <c r="B457" s="16" t="n">
        <f aca="false">MONTH(A457)</f>
        <v>8</v>
      </c>
      <c r="C457" s="16" t="s">
        <v>41</v>
      </c>
      <c r="D457" s="16" t="s">
        <v>33</v>
      </c>
      <c r="E457" s="16" t="s">
        <v>51</v>
      </c>
      <c r="F457" s="16" t="n">
        <v>3</v>
      </c>
      <c r="G457" s="17" t="n">
        <v>450</v>
      </c>
      <c r="H457" s="17" t="n">
        <v>280</v>
      </c>
      <c r="I457" s="17" t="n">
        <f aca="false">F457*G457</f>
        <v>1350</v>
      </c>
      <c r="J457" s="17" t="n">
        <f aca="false">F457*(G457-H457)</f>
        <v>510</v>
      </c>
    </row>
    <row r="458" customFormat="false" ht="15" hidden="false" customHeight="false" outlineLevel="0" collapsed="false">
      <c r="A458" s="15" t="n">
        <v>46340</v>
      </c>
      <c r="B458" s="16" t="n">
        <f aca="false">MONTH(A458)</f>
        <v>11</v>
      </c>
      <c r="C458" s="16" t="s">
        <v>40</v>
      </c>
      <c r="D458" s="16" t="s">
        <v>36</v>
      </c>
      <c r="E458" s="16" t="s">
        <v>51</v>
      </c>
      <c r="F458" s="16" t="n">
        <v>10</v>
      </c>
      <c r="G458" s="17" t="n">
        <v>700</v>
      </c>
      <c r="H458" s="17" t="n">
        <v>480</v>
      </c>
      <c r="I458" s="17" t="n">
        <f aca="false">F458*G458</f>
        <v>7000</v>
      </c>
      <c r="J458" s="17" t="n">
        <f aca="false">F458*(G458-H458)</f>
        <v>2200</v>
      </c>
    </row>
    <row r="459" customFormat="false" ht="15" hidden="false" customHeight="false" outlineLevel="0" collapsed="false">
      <c r="A459" s="15" t="n">
        <v>46295</v>
      </c>
      <c r="B459" s="16" t="n">
        <f aca="false">MONTH(A459)</f>
        <v>9</v>
      </c>
      <c r="C459" s="16" t="s">
        <v>40</v>
      </c>
      <c r="D459" s="16" t="s">
        <v>31</v>
      </c>
      <c r="E459" s="16" t="s">
        <v>50</v>
      </c>
      <c r="F459" s="16" t="n">
        <v>10</v>
      </c>
      <c r="G459" s="17" t="n">
        <v>4200</v>
      </c>
      <c r="H459" s="17" t="n">
        <v>3300</v>
      </c>
      <c r="I459" s="17" t="n">
        <f aca="false">F459*G459</f>
        <v>42000</v>
      </c>
      <c r="J459" s="17" t="n">
        <f aca="false">F459*(G459-H459)</f>
        <v>9000</v>
      </c>
    </row>
    <row r="460" customFormat="false" ht="15" hidden="false" customHeight="false" outlineLevel="0" collapsed="false">
      <c r="A460" s="15" t="n">
        <v>46277</v>
      </c>
      <c r="B460" s="16" t="n">
        <f aca="false">MONTH(A460)</f>
        <v>9</v>
      </c>
      <c r="C460" s="16" t="s">
        <v>42</v>
      </c>
      <c r="D460" s="16" t="s">
        <v>31</v>
      </c>
      <c r="E460" s="16" t="s">
        <v>50</v>
      </c>
      <c r="F460" s="16" t="n">
        <v>4</v>
      </c>
      <c r="G460" s="17" t="n">
        <v>4200</v>
      </c>
      <c r="H460" s="17" t="n">
        <v>3300</v>
      </c>
      <c r="I460" s="17" t="n">
        <f aca="false">F460*G460</f>
        <v>16800</v>
      </c>
      <c r="J460" s="17" t="n">
        <f aca="false">F460*(G460-H460)</f>
        <v>3600</v>
      </c>
    </row>
    <row r="461" customFormat="false" ht="15" hidden="false" customHeight="false" outlineLevel="0" collapsed="false">
      <c r="A461" s="15" t="n">
        <v>46066</v>
      </c>
      <c r="B461" s="16" t="n">
        <f aca="false">MONTH(A461)</f>
        <v>2</v>
      </c>
      <c r="C461" s="16" t="s">
        <v>40</v>
      </c>
      <c r="D461" s="16" t="s">
        <v>31</v>
      </c>
      <c r="E461" s="16" t="s">
        <v>50</v>
      </c>
      <c r="F461" s="16" t="n">
        <v>12</v>
      </c>
      <c r="G461" s="17" t="n">
        <v>4200</v>
      </c>
      <c r="H461" s="17" t="n">
        <v>3300</v>
      </c>
      <c r="I461" s="17" t="n">
        <f aca="false">F461*G461</f>
        <v>50400</v>
      </c>
      <c r="J461" s="17" t="n">
        <f aca="false">F461*(G461-H461)</f>
        <v>10800</v>
      </c>
    </row>
    <row r="462" customFormat="false" ht="15" hidden="false" customHeight="false" outlineLevel="0" collapsed="false">
      <c r="A462" s="15" t="n">
        <v>46238</v>
      </c>
      <c r="B462" s="16" t="n">
        <f aca="false">MONTH(A462)</f>
        <v>8</v>
      </c>
      <c r="C462" s="16" t="s">
        <v>41</v>
      </c>
      <c r="D462" s="16" t="s">
        <v>30</v>
      </c>
      <c r="E462" s="16" t="s">
        <v>50</v>
      </c>
      <c r="F462" s="16" t="n">
        <v>12</v>
      </c>
      <c r="G462" s="17" t="n">
        <v>18500</v>
      </c>
      <c r="H462" s="17" t="n">
        <v>15000</v>
      </c>
      <c r="I462" s="17" t="n">
        <f aca="false">F462*G462</f>
        <v>222000</v>
      </c>
      <c r="J462" s="17" t="n">
        <f aca="false">F462*(G462-H462)</f>
        <v>42000</v>
      </c>
    </row>
    <row r="463" customFormat="false" ht="15" hidden="false" customHeight="false" outlineLevel="0" collapsed="false">
      <c r="A463" s="15" t="n">
        <v>46223</v>
      </c>
      <c r="B463" s="16" t="n">
        <f aca="false">MONTH(A463)</f>
        <v>7</v>
      </c>
      <c r="C463" s="16" t="s">
        <v>40</v>
      </c>
      <c r="D463" s="16" t="s">
        <v>33</v>
      </c>
      <c r="E463" s="16" t="s">
        <v>51</v>
      </c>
      <c r="F463" s="16" t="n">
        <v>4</v>
      </c>
      <c r="G463" s="17" t="n">
        <v>450</v>
      </c>
      <c r="H463" s="17" t="n">
        <v>280</v>
      </c>
      <c r="I463" s="17" t="n">
        <f aca="false">F463*G463</f>
        <v>1800</v>
      </c>
      <c r="J463" s="17" t="n">
        <f aca="false">F463*(G463-H463)</f>
        <v>680</v>
      </c>
    </row>
    <row r="464" customFormat="false" ht="15" hidden="false" customHeight="false" outlineLevel="0" collapsed="false">
      <c r="A464" s="15" t="n">
        <v>46285</v>
      </c>
      <c r="B464" s="16" t="n">
        <f aca="false">MONTH(A464)</f>
        <v>9</v>
      </c>
      <c r="C464" s="16" t="s">
        <v>43</v>
      </c>
      <c r="D464" s="16" t="s">
        <v>32</v>
      </c>
      <c r="E464" s="16" t="s">
        <v>50</v>
      </c>
      <c r="F464" s="16" t="n">
        <v>3</v>
      </c>
      <c r="G464" s="17" t="n">
        <v>3800</v>
      </c>
      <c r="H464" s="17" t="n">
        <v>3000</v>
      </c>
      <c r="I464" s="17" t="n">
        <f aca="false">F464*G464</f>
        <v>11400</v>
      </c>
      <c r="J464" s="17" t="n">
        <f aca="false">F464*(G464-H464)</f>
        <v>2400</v>
      </c>
    </row>
    <row r="465" customFormat="false" ht="15" hidden="false" customHeight="false" outlineLevel="0" collapsed="false">
      <c r="A465" s="15" t="n">
        <v>46302</v>
      </c>
      <c r="B465" s="16" t="n">
        <f aca="false">MONTH(A465)</f>
        <v>10</v>
      </c>
      <c r="C465" s="16" t="s">
        <v>40</v>
      </c>
      <c r="D465" s="16" t="s">
        <v>31</v>
      </c>
      <c r="E465" s="16" t="s">
        <v>50</v>
      </c>
      <c r="F465" s="16" t="n">
        <v>8</v>
      </c>
      <c r="G465" s="17" t="n">
        <v>4200</v>
      </c>
      <c r="H465" s="17" t="n">
        <v>3300</v>
      </c>
      <c r="I465" s="17" t="n">
        <f aca="false">F465*G465</f>
        <v>33600</v>
      </c>
      <c r="J465" s="17" t="n">
        <f aca="false">F465*(G465-H465)</f>
        <v>7200</v>
      </c>
    </row>
    <row r="466" customFormat="false" ht="15" hidden="false" customHeight="false" outlineLevel="0" collapsed="false">
      <c r="A466" s="15" t="n">
        <v>46342</v>
      </c>
      <c r="B466" s="16" t="n">
        <f aca="false">MONTH(A466)</f>
        <v>11</v>
      </c>
      <c r="C466" s="16" t="s">
        <v>41</v>
      </c>
      <c r="D466" s="16" t="s">
        <v>33</v>
      </c>
      <c r="E466" s="16" t="s">
        <v>51</v>
      </c>
      <c r="F466" s="16" t="n">
        <v>1</v>
      </c>
      <c r="G466" s="17" t="n">
        <v>450</v>
      </c>
      <c r="H466" s="17" t="n">
        <v>280</v>
      </c>
      <c r="I466" s="17" t="n">
        <f aca="false">F466*G466</f>
        <v>450</v>
      </c>
      <c r="J466" s="17" t="n">
        <f aca="false">F466*(G466-H466)</f>
        <v>170</v>
      </c>
    </row>
    <row r="467" customFormat="false" ht="15" hidden="false" customHeight="false" outlineLevel="0" collapsed="false">
      <c r="A467" s="15" t="n">
        <v>46100</v>
      </c>
      <c r="B467" s="16" t="n">
        <f aca="false">MONTH(A467)</f>
        <v>3</v>
      </c>
      <c r="C467" s="16" t="s">
        <v>40</v>
      </c>
      <c r="D467" s="16" t="s">
        <v>34</v>
      </c>
      <c r="E467" s="16" t="s">
        <v>51</v>
      </c>
      <c r="F467" s="16" t="n">
        <v>2</v>
      </c>
      <c r="G467" s="17" t="n">
        <v>250</v>
      </c>
      <c r="H467" s="17" t="n">
        <v>140</v>
      </c>
      <c r="I467" s="17" t="n">
        <f aca="false">F467*G467</f>
        <v>500</v>
      </c>
      <c r="J467" s="17" t="n">
        <f aca="false">F467*(G467-H467)</f>
        <v>220</v>
      </c>
    </row>
    <row r="468" customFormat="false" ht="15" hidden="false" customHeight="false" outlineLevel="0" collapsed="false">
      <c r="A468" s="15" t="n">
        <v>46252</v>
      </c>
      <c r="B468" s="16" t="n">
        <f aca="false">MONTH(A468)</f>
        <v>8</v>
      </c>
      <c r="C468" s="16" t="s">
        <v>40</v>
      </c>
      <c r="D468" s="16" t="s">
        <v>33</v>
      </c>
      <c r="E468" s="16" t="s">
        <v>51</v>
      </c>
      <c r="F468" s="16" t="n">
        <v>2</v>
      </c>
      <c r="G468" s="17" t="n">
        <v>450</v>
      </c>
      <c r="H468" s="17" t="n">
        <v>280</v>
      </c>
      <c r="I468" s="17" t="n">
        <f aca="false">F468*G468</f>
        <v>900</v>
      </c>
      <c r="J468" s="17" t="n">
        <f aca="false">F468*(G468-H468)</f>
        <v>340</v>
      </c>
    </row>
    <row r="469" customFormat="false" ht="15" hidden="false" customHeight="false" outlineLevel="0" collapsed="false">
      <c r="A469" s="15" t="n">
        <v>46277</v>
      </c>
      <c r="B469" s="16" t="n">
        <f aca="false">MONTH(A469)</f>
        <v>9</v>
      </c>
      <c r="C469" s="16" t="s">
        <v>40</v>
      </c>
      <c r="D469" s="16" t="s">
        <v>34</v>
      </c>
      <c r="E469" s="16" t="s">
        <v>51</v>
      </c>
      <c r="F469" s="16" t="n">
        <v>8</v>
      </c>
      <c r="G469" s="17" t="n">
        <v>250</v>
      </c>
      <c r="H469" s="17" t="n">
        <v>140</v>
      </c>
      <c r="I469" s="17" t="n">
        <f aca="false">F469*G469</f>
        <v>2000</v>
      </c>
      <c r="J469" s="17" t="n">
        <f aca="false">F469*(G469-H469)</f>
        <v>880</v>
      </c>
    </row>
    <row r="470" customFormat="false" ht="15" hidden="false" customHeight="false" outlineLevel="0" collapsed="false">
      <c r="A470" s="15" t="n">
        <v>46162</v>
      </c>
      <c r="B470" s="16" t="n">
        <f aca="false">MONTH(A470)</f>
        <v>5</v>
      </c>
      <c r="C470" s="16" t="s">
        <v>41</v>
      </c>
      <c r="D470" s="16" t="s">
        <v>30</v>
      </c>
      <c r="E470" s="16" t="s">
        <v>50</v>
      </c>
      <c r="F470" s="16" t="n">
        <v>2</v>
      </c>
      <c r="G470" s="17" t="n">
        <v>18500</v>
      </c>
      <c r="H470" s="17" t="n">
        <v>15000</v>
      </c>
      <c r="I470" s="17" t="n">
        <f aca="false">F470*G470</f>
        <v>37000</v>
      </c>
      <c r="J470" s="17" t="n">
        <f aca="false">F470*(G470-H470)</f>
        <v>7000</v>
      </c>
    </row>
    <row r="471" customFormat="false" ht="15" hidden="false" customHeight="false" outlineLevel="0" collapsed="false">
      <c r="A471" s="15" t="n">
        <v>46331</v>
      </c>
      <c r="B471" s="16" t="n">
        <f aca="false">MONTH(A471)</f>
        <v>11</v>
      </c>
      <c r="C471" s="16" t="s">
        <v>41</v>
      </c>
      <c r="D471" s="16" t="s">
        <v>31</v>
      </c>
      <c r="E471" s="16" t="s">
        <v>50</v>
      </c>
      <c r="F471" s="16" t="n">
        <v>2</v>
      </c>
      <c r="G471" s="17" t="n">
        <v>4200</v>
      </c>
      <c r="H471" s="17" t="n">
        <v>3300</v>
      </c>
      <c r="I471" s="17" t="n">
        <f aca="false">F471*G471</f>
        <v>8400</v>
      </c>
      <c r="J471" s="17" t="n">
        <f aca="false">F471*(G471-H471)</f>
        <v>1800</v>
      </c>
    </row>
    <row r="472" customFormat="false" ht="15" hidden="false" customHeight="false" outlineLevel="0" collapsed="false">
      <c r="A472" s="15" t="n">
        <v>46289</v>
      </c>
      <c r="B472" s="16" t="n">
        <f aca="false">MONTH(A472)</f>
        <v>9</v>
      </c>
      <c r="C472" s="16" t="s">
        <v>42</v>
      </c>
      <c r="D472" s="16" t="s">
        <v>35</v>
      </c>
      <c r="E472" s="16" t="s">
        <v>52</v>
      </c>
      <c r="F472" s="16" t="n">
        <v>5</v>
      </c>
      <c r="G472" s="17" t="n">
        <v>900</v>
      </c>
      <c r="H472" s="17" t="n">
        <v>650</v>
      </c>
      <c r="I472" s="17" t="n">
        <f aca="false">F472*G472</f>
        <v>4500</v>
      </c>
      <c r="J472" s="17" t="n">
        <f aca="false">F472*(G472-H472)</f>
        <v>1250</v>
      </c>
    </row>
    <row r="473" customFormat="false" ht="15" hidden="false" customHeight="false" outlineLevel="0" collapsed="false">
      <c r="A473" s="15" t="n">
        <v>46292</v>
      </c>
      <c r="B473" s="16" t="n">
        <f aca="false">MONTH(A473)</f>
        <v>9</v>
      </c>
      <c r="C473" s="16" t="s">
        <v>43</v>
      </c>
      <c r="D473" s="16" t="s">
        <v>35</v>
      </c>
      <c r="E473" s="16" t="s">
        <v>52</v>
      </c>
      <c r="F473" s="16" t="n">
        <v>4</v>
      </c>
      <c r="G473" s="17" t="n">
        <v>900</v>
      </c>
      <c r="H473" s="17" t="n">
        <v>650</v>
      </c>
      <c r="I473" s="17" t="n">
        <f aca="false">F473*G473</f>
        <v>3600</v>
      </c>
      <c r="J473" s="17" t="n">
        <f aca="false">F473*(G473-H473)</f>
        <v>1000</v>
      </c>
    </row>
    <row r="474" customFormat="false" ht="15" hidden="false" customHeight="false" outlineLevel="0" collapsed="false">
      <c r="A474" s="15" t="n">
        <v>46057</v>
      </c>
      <c r="B474" s="16" t="n">
        <f aca="false">MONTH(A474)</f>
        <v>2</v>
      </c>
      <c r="C474" s="16" t="s">
        <v>40</v>
      </c>
      <c r="D474" s="16" t="s">
        <v>31</v>
      </c>
      <c r="E474" s="16" t="s">
        <v>50</v>
      </c>
      <c r="F474" s="16" t="n">
        <v>10</v>
      </c>
      <c r="G474" s="17" t="n">
        <v>4200</v>
      </c>
      <c r="H474" s="17" t="n">
        <v>3300</v>
      </c>
      <c r="I474" s="17" t="n">
        <f aca="false">F474*G474</f>
        <v>42000</v>
      </c>
      <c r="J474" s="17" t="n">
        <f aca="false">F474*(G474-H474)</f>
        <v>9000</v>
      </c>
    </row>
    <row r="475" customFormat="false" ht="15" hidden="false" customHeight="false" outlineLevel="0" collapsed="false">
      <c r="A475" s="15" t="n">
        <v>46246</v>
      </c>
      <c r="B475" s="16" t="n">
        <f aca="false">MONTH(A475)</f>
        <v>8</v>
      </c>
      <c r="C475" s="16" t="s">
        <v>42</v>
      </c>
      <c r="D475" s="16" t="s">
        <v>36</v>
      </c>
      <c r="E475" s="16" t="s">
        <v>51</v>
      </c>
      <c r="F475" s="16" t="n">
        <v>8</v>
      </c>
      <c r="G475" s="17" t="n">
        <v>700</v>
      </c>
      <c r="H475" s="17" t="n">
        <v>480</v>
      </c>
      <c r="I475" s="17" t="n">
        <f aca="false">F475*G475</f>
        <v>5600</v>
      </c>
      <c r="J475" s="17" t="n">
        <f aca="false">F475*(G475-H475)</f>
        <v>1760</v>
      </c>
    </row>
    <row r="476" customFormat="false" ht="15" hidden="false" customHeight="false" outlineLevel="0" collapsed="false">
      <c r="A476" s="15" t="n">
        <v>46333</v>
      </c>
      <c r="B476" s="16" t="n">
        <f aca="false">MONTH(A476)</f>
        <v>11</v>
      </c>
      <c r="C476" s="16" t="s">
        <v>43</v>
      </c>
      <c r="D476" s="16" t="s">
        <v>35</v>
      </c>
      <c r="E476" s="16" t="s">
        <v>52</v>
      </c>
      <c r="F476" s="16" t="n">
        <v>8</v>
      </c>
      <c r="G476" s="17" t="n">
        <v>900</v>
      </c>
      <c r="H476" s="17" t="n">
        <v>650</v>
      </c>
      <c r="I476" s="17" t="n">
        <f aca="false">F476*G476</f>
        <v>7200</v>
      </c>
      <c r="J476" s="17" t="n">
        <f aca="false">F476*(G476-H476)</f>
        <v>2000</v>
      </c>
    </row>
    <row r="477" customFormat="false" ht="15" hidden="false" customHeight="false" outlineLevel="0" collapsed="false">
      <c r="A477" s="15" t="n">
        <v>46133</v>
      </c>
      <c r="B477" s="16" t="n">
        <f aca="false">MONTH(A477)</f>
        <v>4</v>
      </c>
      <c r="C477" s="16" t="s">
        <v>42</v>
      </c>
      <c r="D477" s="16" t="s">
        <v>34</v>
      </c>
      <c r="E477" s="16" t="s">
        <v>51</v>
      </c>
      <c r="F477" s="16" t="n">
        <v>11</v>
      </c>
      <c r="G477" s="17" t="n">
        <v>250</v>
      </c>
      <c r="H477" s="17" t="n">
        <v>140</v>
      </c>
      <c r="I477" s="17" t="n">
        <f aca="false">F477*G477</f>
        <v>2750</v>
      </c>
      <c r="J477" s="17" t="n">
        <f aca="false">F477*(G477-H477)</f>
        <v>1210</v>
      </c>
    </row>
    <row r="478" customFormat="false" ht="15" hidden="false" customHeight="false" outlineLevel="0" collapsed="false">
      <c r="A478" s="15" t="n">
        <v>46196</v>
      </c>
      <c r="B478" s="16" t="n">
        <f aca="false">MONTH(A478)</f>
        <v>6</v>
      </c>
      <c r="C478" s="16" t="s">
        <v>42</v>
      </c>
      <c r="D478" s="16" t="s">
        <v>36</v>
      </c>
      <c r="E478" s="16" t="s">
        <v>51</v>
      </c>
      <c r="F478" s="16" t="n">
        <v>10</v>
      </c>
      <c r="G478" s="17" t="n">
        <v>700</v>
      </c>
      <c r="H478" s="17" t="n">
        <v>480</v>
      </c>
      <c r="I478" s="17" t="n">
        <f aca="false">F478*G478</f>
        <v>7000</v>
      </c>
      <c r="J478" s="17" t="n">
        <f aca="false">F478*(G478-H478)</f>
        <v>2200</v>
      </c>
    </row>
    <row r="479" customFormat="false" ht="15" hidden="false" customHeight="false" outlineLevel="0" collapsed="false">
      <c r="A479" s="15" t="n">
        <v>46198</v>
      </c>
      <c r="B479" s="16" t="n">
        <f aca="false">MONTH(A479)</f>
        <v>6</v>
      </c>
      <c r="C479" s="16" t="s">
        <v>43</v>
      </c>
      <c r="D479" s="16" t="s">
        <v>33</v>
      </c>
      <c r="E479" s="16" t="s">
        <v>51</v>
      </c>
      <c r="F479" s="16" t="n">
        <v>1</v>
      </c>
      <c r="G479" s="17" t="n">
        <v>450</v>
      </c>
      <c r="H479" s="17" t="n">
        <v>280</v>
      </c>
      <c r="I479" s="17" t="n">
        <f aca="false">F479*G479</f>
        <v>450</v>
      </c>
      <c r="J479" s="17" t="n">
        <f aca="false">F479*(G479-H479)</f>
        <v>170</v>
      </c>
    </row>
    <row r="480" customFormat="false" ht="15" hidden="false" customHeight="false" outlineLevel="0" collapsed="false">
      <c r="A480" s="15" t="n">
        <v>46097</v>
      </c>
      <c r="B480" s="16" t="n">
        <f aca="false">MONTH(A480)</f>
        <v>3</v>
      </c>
      <c r="C480" s="16" t="s">
        <v>41</v>
      </c>
      <c r="D480" s="16" t="s">
        <v>36</v>
      </c>
      <c r="E480" s="16" t="s">
        <v>51</v>
      </c>
      <c r="F480" s="16" t="n">
        <v>10</v>
      </c>
      <c r="G480" s="17" t="n">
        <v>700</v>
      </c>
      <c r="H480" s="17" t="n">
        <v>480</v>
      </c>
      <c r="I480" s="17" t="n">
        <f aca="false">F480*G480</f>
        <v>7000</v>
      </c>
      <c r="J480" s="17" t="n">
        <f aca="false">F480*(G480-H480)</f>
        <v>2200</v>
      </c>
    </row>
    <row r="481" customFormat="false" ht="15" hidden="false" customHeight="false" outlineLevel="0" collapsed="false">
      <c r="A481" s="15" t="n">
        <v>46298</v>
      </c>
      <c r="B481" s="16" t="n">
        <f aca="false">MONTH(A481)</f>
        <v>10</v>
      </c>
      <c r="C481" s="16" t="s">
        <v>40</v>
      </c>
      <c r="D481" s="16" t="s">
        <v>32</v>
      </c>
      <c r="E481" s="16" t="s">
        <v>50</v>
      </c>
      <c r="F481" s="16" t="n">
        <v>6</v>
      </c>
      <c r="G481" s="17" t="n">
        <v>3800</v>
      </c>
      <c r="H481" s="17" t="n">
        <v>3000</v>
      </c>
      <c r="I481" s="17" t="n">
        <f aca="false">F481*G481</f>
        <v>22800</v>
      </c>
      <c r="J481" s="17" t="n">
        <f aca="false">F481*(G481-H481)</f>
        <v>4800</v>
      </c>
    </row>
    <row r="482" customFormat="false" ht="15" hidden="false" customHeight="false" outlineLevel="0" collapsed="false">
      <c r="A482" s="15" t="n">
        <v>46103</v>
      </c>
      <c r="B482" s="16" t="n">
        <f aca="false">MONTH(A482)</f>
        <v>3</v>
      </c>
      <c r="C482" s="16" t="s">
        <v>43</v>
      </c>
      <c r="D482" s="16" t="s">
        <v>32</v>
      </c>
      <c r="E482" s="16" t="s">
        <v>50</v>
      </c>
      <c r="F482" s="16" t="n">
        <v>5</v>
      </c>
      <c r="G482" s="17" t="n">
        <v>3800</v>
      </c>
      <c r="H482" s="17" t="n">
        <v>3000</v>
      </c>
      <c r="I482" s="17" t="n">
        <f aca="false">F482*G482</f>
        <v>19000</v>
      </c>
      <c r="J482" s="17" t="n">
        <f aca="false">F482*(G482-H482)</f>
        <v>4000</v>
      </c>
    </row>
    <row r="483" customFormat="false" ht="15" hidden="false" customHeight="false" outlineLevel="0" collapsed="false">
      <c r="A483" s="15" t="n">
        <v>46301</v>
      </c>
      <c r="B483" s="16" t="n">
        <f aca="false">MONTH(A483)</f>
        <v>10</v>
      </c>
      <c r="C483" s="16" t="s">
        <v>40</v>
      </c>
      <c r="D483" s="16" t="s">
        <v>34</v>
      </c>
      <c r="E483" s="16" t="s">
        <v>51</v>
      </c>
      <c r="F483" s="16" t="n">
        <v>2</v>
      </c>
      <c r="G483" s="17" t="n">
        <v>250</v>
      </c>
      <c r="H483" s="17" t="n">
        <v>140</v>
      </c>
      <c r="I483" s="17" t="n">
        <f aca="false">F483*G483</f>
        <v>500</v>
      </c>
      <c r="J483" s="17" t="n">
        <f aca="false">F483*(G483-H483)</f>
        <v>220</v>
      </c>
    </row>
    <row r="484" customFormat="false" ht="15" hidden="false" customHeight="false" outlineLevel="0" collapsed="false">
      <c r="A484" s="15" t="n">
        <v>46222</v>
      </c>
      <c r="B484" s="16" t="n">
        <f aca="false">MONTH(A484)</f>
        <v>7</v>
      </c>
      <c r="C484" s="16" t="s">
        <v>41</v>
      </c>
      <c r="D484" s="16" t="s">
        <v>34</v>
      </c>
      <c r="E484" s="16" t="s">
        <v>51</v>
      </c>
      <c r="F484" s="16" t="n">
        <v>11</v>
      </c>
      <c r="G484" s="17" t="n">
        <v>250</v>
      </c>
      <c r="H484" s="17" t="n">
        <v>140</v>
      </c>
      <c r="I484" s="17" t="n">
        <f aca="false">F484*G484</f>
        <v>2750</v>
      </c>
      <c r="J484" s="17" t="n">
        <f aca="false">F484*(G484-H484)</f>
        <v>1210</v>
      </c>
    </row>
    <row r="485" customFormat="false" ht="15" hidden="false" customHeight="false" outlineLevel="0" collapsed="false">
      <c r="A485" s="15" t="n">
        <v>46276</v>
      </c>
      <c r="B485" s="16" t="n">
        <f aca="false">MONTH(A485)</f>
        <v>9</v>
      </c>
      <c r="C485" s="16" t="s">
        <v>43</v>
      </c>
      <c r="D485" s="16" t="s">
        <v>32</v>
      </c>
      <c r="E485" s="16" t="s">
        <v>50</v>
      </c>
      <c r="F485" s="16" t="n">
        <v>6</v>
      </c>
      <c r="G485" s="17" t="n">
        <v>3800</v>
      </c>
      <c r="H485" s="17" t="n">
        <v>3000</v>
      </c>
      <c r="I485" s="17" t="n">
        <f aca="false">F485*G485</f>
        <v>22800</v>
      </c>
      <c r="J485" s="17" t="n">
        <f aca="false">F485*(G485-H485)</f>
        <v>4800</v>
      </c>
    </row>
    <row r="486" customFormat="false" ht="15" hidden="false" customHeight="false" outlineLevel="0" collapsed="false">
      <c r="A486" s="15" t="n">
        <v>46324</v>
      </c>
      <c r="B486" s="16" t="n">
        <f aca="false">MONTH(A486)</f>
        <v>10</v>
      </c>
      <c r="C486" s="16" t="s">
        <v>40</v>
      </c>
      <c r="D486" s="16" t="s">
        <v>34</v>
      </c>
      <c r="E486" s="16" t="s">
        <v>51</v>
      </c>
      <c r="F486" s="16" t="n">
        <v>3</v>
      </c>
      <c r="G486" s="17" t="n">
        <v>250</v>
      </c>
      <c r="H486" s="17" t="n">
        <v>140</v>
      </c>
      <c r="I486" s="17" t="n">
        <f aca="false">F486*G486</f>
        <v>750</v>
      </c>
      <c r="J486" s="17" t="n">
        <f aca="false">F486*(G486-H486)</f>
        <v>330</v>
      </c>
    </row>
    <row r="487" customFormat="false" ht="15" hidden="false" customHeight="false" outlineLevel="0" collapsed="false">
      <c r="A487" s="15" t="n">
        <v>46118</v>
      </c>
      <c r="B487" s="16" t="n">
        <f aca="false">MONTH(A487)</f>
        <v>4</v>
      </c>
      <c r="C487" s="16" t="s">
        <v>43</v>
      </c>
      <c r="D487" s="16" t="s">
        <v>30</v>
      </c>
      <c r="E487" s="16" t="s">
        <v>50</v>
      </c>
      <c r="F487" s="16" t="n">
        <v>1</v>
      </c>
      <c r="G487" s="17" t="n">
        <v>18500</v>
      </c>
      <c r="H487" s="17" t="n">
        <v>15000</v>
      </c>
      <c r="I487" s="17" t="n">
        <f aca="false">F487*G487</f>
        <v>18500</v>
      </c>
      <c r="J487" s="17" t="n">
        <f aca="false">F487*(G487-H487)</f>
        <v>3500</v>
      </c>
    </row>
    <row r="488" customFormat="false" ht="15" hidden="false" customHeight="false" outlineLevel="0" collapsed="false">
      <c r="A488" s="15" t="n">
        <v>46222</v>
      </c>
      <c r="B488" s="16" t="n">
        <f aca="false">MONTH(A488)</f>
        <v>7</v>
      </c>
      <c r="C488" s="16" t="s">
        <v>41</v>
      </c>
      <c r="D488" s="16" t="s">
        <v>35</v>
      </c>
      <c r="E488" s="16" t="s">
        <v>52</v>
      </c>
      <c r="F488" s="16" t="n">
        <v>2</v>
      </c>
      <c r="G488" s="17" t="n">
        <v>900</v>
      </c>
      <c r="H488" s="17" t="n">
        <v>650</v>
      </c>
      <c r="I488" s="17" t="n">
        <f aca="false">F488*G488</f>
        <v>1800</v>
      </c>
      <c r="J488" s="17" t="n">
        <f aca="false">F488*(G488-H488)</f>
        <v>500</v>
      </c>
    </row>
    <row r="489" customFormat="false" ht="15" hidden="false" customHeight="false" outlineLevel="0" collapsed="false">
      <c r="A489" s="15" t="n">
        <v>46264</v>
      </c>
      <c r="B489" s="16" t="n">
        <f aca="false">MONTH(A489)</f>
        <v>8</v>
      </c>
      <c r="C489" s="16" t="s">
        <v>42</v>
      </c>
      <c r="D489" s="16" t="s">
        <v>35</v>
      </c>
      <c r="E489" s="16" t="s">
        <v>52</v>
      </c>
      <c r="F489" s="16" t="n">
        <v>10</v>
      </c>
      <c r="G489" s="17" t="n">
        <v>900</v>
      </c>
      <c r="H489" s="17" t="n">
        <v>650</v>
      </c>
      <c r="I489" s="17" t="n">
        <f aca="false">F489*G489</f>
        <v>9000</v>
      </c>
      <c r="J489" s="17" t="n">
        <f aca="false">F489*(G489-H489)</f>
        <v>2500</v>
      </c>
    </row>
    <row r="490" customFormat="false" ht="15" hidden="false" customHeight="false" outlineLevel="0" collapsed="false">
      <c r="A490" s="15" t="n">
        <v>46316</v>
      </c>
      <c r="B490" s="16" t="n">
        <f aca="false">MONTH(A490)</f>
        <v>10</v>
      </c>
      <c r="C490" s="16" t="s">
        <v>43</v>
      </c>
      <c r="D490" s="16" t="s">
        <v>33</v>
      </c>
      <c r="E490" s="16" t="s">
        <v>51</v>
      </c>
      <c r="F490" s="16" t="n">
        <v>3</v>
      </c>
      <c r="G490" s="17" t="n">
        <v>450</v>
      </c>
      <c r="H490" s="17" t="n">
        <v>280</v>
      </c>
      <c r="I490" s="17" t="n">
        <f aca="false">F490*G490</f>
        <v>1350</v>
      </c>
      <c r="J490" s="17" t="n">
        <f aca="false">F490*(G490-H490)</f>
        <v>510</v>
      </c>
    </row>
    <row r="491" customFormat="false" ht="15" hidden="false" customHeight="false" outlineLevel="0" collapsed="false">
      <c r="A491" s="15" t="n">
        <v>46052</v>
      </c>
      <c r="B491" s="16" t="n">
        <f aca="false">MONTH(A491)</f>
        <v>1</v>
      </c>
      <c r="C491" s="16" t="s">
        <v>40</v>
      </c>
      <c r="D491" s="16" t="s">
        <v>33</v>
      </c>
      <c r="E491" s="16" t="s">
        <v>51</v>
      </c>
      <c r="F491" s="16" t="n">
        <v>5</v>
      </c>
      <c r="G491" s="17" t="n">
        <v>450</v>
      </c>
      <c r="H491" s="17" t="n">
        <v>280</v>
      </c>
      <c r="I491" s="17" t="n">
        <f aca="false">F491*G491</f>
        <v>2250</v>
      </c>
      <c r="J491" s="17" t="n">
        <f aca="false">F491*(G491-H491)</f>
        <v>850</v>
      </c>
    </row>
    <row r="492" customFormat="false" ht="15" hidden="false" customHeight="false" outlineLevel="0" collapsed="false">
      <c r="A492" s="15" t="n">
        <v>46178</v>
      </c>
      <c r="B492" s="16" t="n">
        <f aca="false">MONTH(A492)</f>
        <v>6</v>
      </c>
      <c r="C492" s="16" t="s">
        <v>40</v>
      </c>
      <c r="D492" s="16" t="s">
        <v>34</v>
      </c>
      <c r="E492" s="16" t="s">
        <v>51</v>
      </c>
      <c r="F492" s="16" t="n">
        <v>7</v>
      </c>
      <c r="G492" s="17" t="n">
        <v>250</v>
      </c>
      <c r="H492" s="17" t="n">
        <v>140</v>
      </c>
      <c r="I492" s="17" t="n">
        <f aca="false">F492*G492</f>
        <v>1750</v>
      </c>
      <c r="J492" s="17" t="n">
        <f aca="false">F492*(G492-H492)</f>
        <v>770</v>
      </c>
    </row>
    <row r="493" customFormat="false" ht="15" hidden="false" customHeight="false" outlineLevel="0" collapsed="false">
      <c r="A493" s="15" t="n">
        <v>46136</v>
      </c>
      <c r="B493" s="16" t="n">
        <f aca="false">MONTH(A493)</f>
        <v>4</v>
      </c>
      <c r="C493" s="16" t="s">
        <v>42</v>
      </c>
      <c r="D493" s="16" t="s">
        <v>36</v>
      </c>
      <c r="E493" s="16" t="s">
        <v>51</v>
      </c>
      <c r="F493" s="16" t="n">
        <v>6</v>
      </c>
      <c r="G493" s="17" t="n">
        <v>700</v>
      </c>
      <c r="H493" s="17" t="n">
        <v>480</v>
      </c>
      <c r="I493" s="17" t="n">
        <f aca="false">F493*G493</f>
        <v>4200</v>
      </c>
      <c r="J493" s="17" t="n">
        <f aca="false">F493*(G493-H493)</f>
        <v>1320</v>
      </c>
    </row>
    <row r="494" customFormat="false" ht="15" hidden="false" customHeight="false" outlineLevel="0" collapsed="false">
      <c r="A494" s="15" t="n">
        <v>46076</v>
      </c>
      <c r="B494" s="16" t="n">
        <f aca="false">MONTH(A494)</f>
        <v>2</v>
      </c>
      <c r="C494" s="16" t="s">
        <v>41</v>
      </c>
      <c r="D494" s="16" t="s">
        <v>36</v>
      </c>
      <c r="E494" s="16" t="s">
        <v>51</v>
      </c>
      <c r="F494" s="16" t="n">
        <v>1</v>
      </c>
      <c r="G494" s="17" t="n">
        <v>700</v>
      </c>
      <c r="H494" s="17" t="n">
        <v>480</v>
      </c>
      <c r="I494" s="17" t="n">
        <f aca="false">F494*G494</f>
        <v>700</v>
      </c>
      <c r="J494" s="17" t="n">
        <f aca="false">F494*(G494-H494)</f>
        <v>220</v>
      </c>
    </row>
    <row r="495" customFormat="false" ht="15" hidden="false" customHeight="false" outlineLevel="0" collapsed="false">
      <c r="A495" s="15" t="n">
        <v>46116</v>
      </c>
      <c r="B495" s="16" t="n">
        <f aca="false">MONTH(A495)</f>
        <v>4</v>
      </c>
      <c r="C495" s="16" t="s">
        <v>40</v>
      </c>
      <c r="D495" s="16" t="s">
        <v>36</v>
      </c>
      <c r="E495" s="16" t="s">
        <v>51</v>
      </c>
      <c r="F495" s="16" t="n">
        <v>1</v>
      </c>
      <c r="G495" s="17" t="n">
        <v>700</v>
      </c>
      <c r="H495" s="17" t="n">
        <v>480</v>
      </c>
      <c r="I495" s="17" t="n">
        <f aca="false">F495*G495</f>
        <v>700</v>
      </c>
      <c r="J495" s="17" t="n">
        <f aca="false">F495*(G495-H495)</f>
        <v>220</v>
      </c>
    </row>
    <row r="496" customFormat="false" ht="15" hidden="false" customHeight="false" outlineLevel="0" collapsed="false">
      <c r="A496" s="15" t="n">
        <v>46257</v>
      </c>
      <c r="B496" s="16" t="n">
        <f aca="false">MONTH(A496)</f>
        <v>8</v>
      </c>
      <c r="C496" s="16" t="s">
        <v>42</v>
      </c>
      <c r="D496" s="16" t="s">
        <v>31</v>
      </c>
      <c r="E496" s="16" t="s">
        <v>50</v>
      </c>
      <c r="F496" s="16" t="n">
        <v>2</v>
      </c>
      <c r="G496" s="17" t="n">
        <v>4200</v>
      </c>
      <c r="H496" s="17" t="n">
        <v>3300</v>
      </c>
      <c r="I496" s="17" t="n">
        <f aca="false">F496*G496</f>
        <v>8400</v>
      </c>
      <c r="J496" s="17" t="n">
        <f aca="false">F496*(G496-H496)</f>
        <v>1800</v>
      </c>
    </row>
    <row r="497" customFormat="false" ht="15" hidden="false" customHeight="false" outlineLevel="0" collapsed="false">
      <c r="A497" s="15" t="n">
        <v>46152</v>
      </c>
      <c r="B497" s="16" t="n">
        <f aca="false">MONTH(A497)</f>
        <v>5</v>
      </c>
      <c r="C497" s="16" t="s">
        <v>42</v>
      </c>
      <c r="D497" s="16" t="s">
        <v>30</v>
      </c>
      <c r="E497" s="16" t="s">
        <v>50</v>
      </c>
      <c r="F497" s="16" t="n">
        <v>12</v>
      </c>
      <c r="G497" s="17" t="n">
        <v>18500</v>
      </c>
      <c r="H497" s="17" t="n">
        <v>15000</v>
      </c>
      <c r="I497" s="17" t="n">
        <f aca="false">F497*G497</f>
        <v>222000</v>
      </c>
      <c r="J497" s="17" t="n">
        <f aca="false">F497*(G497-H497)</f>
        <v>42000</v>
      </c>
    </row>
    <row r="498" customFormat="false" ht="15" hidden="false" customHeight="false" outlineLevel="0" collapsed="false">
      <c r="A498" s="15" t="n">
        <v>46205</v>
      </c>
      <c r="B498" s="16" t="n">
        <f aca="false">MONTH(A498)</f>
        <v>7</v>
      </c>
      <c r="C498" s="16" t="s">
        <v>40</v>
      </c>
      <c r="D498" s="16" t="s">
        <v>35</v>
      </c>
      <c r="E498" s="16" t="s">
        <v>52</v>
      </c>
      <c r="F498" s="16" t="n">
        <v>3</v>
      </c>
      <c r="G498" s="17" t="n">
        <v>900</v>
      </c>
      <c r="H498" s="17" t="n">
        <v>650</v>
      </c>
      <c r="I498" s="17" t="n">
        <f aca="false">F498*G498</f>
        <v>2700</v>
      </c>
      <c r="J498" s="17" t="n">
        <f aca="false">F498*(G498-H498)</f>
        <v>750</v>
      </c>
    </row>
    <row r="499" customFormat="false" ht="15" hidden="false" customHeight="false" outlineLevel="0" collapsed="false">
      <c r="A499" s="15" t="n">
        <v>46377</v>
      </c>
      <c r="B499" s="16" t="n">
        <f aca="false">MONTH(A499)</f>
        <v>12</v>
      </c>
      <c r="C499" s="16" t="s">
        <v>41</v>
      </c>
      <c r="D499" s="16" t="s">
        <v>33</v>
      </c>
      <c r="E499" s="16" t="s">
        <v>51</v>
      </c>
      <c r="F499" s="16" t="n">
        <v>9</v>
      </c>
      <c r="G499" s="17" t="n">
        <v>450</v>
      </c>
      <c r="H499" s="17" t="n">
        <v>280</v>
      </c>
      <c r="I499" s="17" t="n">
        <f aca="false">F499*G499</f>
        <v>4050</v>
      </c>
      <c r="J499" s="17" t="n">
        <f aca="false">F499*(G499-H499)</f>
        <v>1530</v>
      </c>
    </row>
    <row r="500" customFormat="false" ht="15" hidden="false" customHeight="false" outlineLevel="0" collapsed="false">
      <c r="A500" s="15" t="n">
        <v>46168</v>
      </c>
      <c r="B500" s="16" t="n">
        <f aca="false">MONTH(A500)</f>
        <v>5</v>
      </c>
      <c r="C500" s="16" t="s">
        <v>43</v>
      </c>
      <c r="D500" s="16" t="s">
        <v>30</v>
      </c>
      <c r="E500" s="16" t="s">
        <v>50</v>
      </c>
      <c r="F500" s="16" t="n">
        <v>3</v>
      </c>
      <c r="G500" s="17" t="n">
        <v>18500</v>
      </c>
      <c r="H500" s="17" t="n">
        <v>15000</v>
      </c>
      <c r="I500" s="17" t="n">
        <f aca="false">F500*G500</f>
        <v>55500</v>
      </c>
      <c r="J500" s="17" t="n">
        <f aca="false">F500*(G500-H500)</f>
        <v>10500</v>
      </c>
    </row>
    <row r="501" customFormat="false" ht="15" hidden="false" customHeight="false" outlineLevel="0" collapsed="false">
      <c r="A501" s="15" t="n">
        <v>46053</v>
      </c>
      <c r="B501" s="16" t="n">
        <f aca="false">MONTH(A501)</f>
        <v>1</v>
      </c>
      <c r="C501" s="16" t="s">
        <v>41</v>
      </c>
      <c r="D501" s="16" t="s">
        <v>32</v>
      </c>
      <c r="E501" s="16" t="s">
        <v>50</v>
      </c>
      <c r="F501" s="16" t="n">
        <v>8</v>
      </c>
      <c r="G501" s="17" t="n">
        <v>3800</v>
      </c>
      <c r="H501" s="17" t="n">
        <v>3000</v>
      </c>
      <c r="I501" s="17" t="n">
        <f aca="false">F501*G501</f>
        <v>30400</v>
      </c>
      <c r="J501" s="17" t="n">
        <f aca="false">F501*(G501-H501)</f>
        <v>6400</v>
      </c>
    </row>
    <row r="502" customFormat="false" ht="15" hidden="false" customHeight="false" outlineLevel="0" collapsed="false">
      <c r="A502" s="15" t="n">
        <v>46053</v>
      </c>
      <c r="B502" s="16" t="n">
        <f aca="false">MONTH(A502)</f>
        <v>1</v>
      </c>
      <c r="C502" s="16" t="s">
        <v>43</v>
      </c>
      <c r="D502" s="16" t="s">
        <v>35</v>
      </c>
      <c r="E502" s="16" t="s">
        <v>52</v>
      </c>
      <c r="F502" s="16" t="n">
        <v>1</v>
      </c>
      <c r="G502" s="17" t="n">
        <v>900</v>
      </c>
      <c r="H502" s="17" t="n">
        <v>650</v>
      </c>
      <c r="I502" s="17" t="n">
        <f aca="false">F502*G502</f>
        <v>900</v>
      </c>
      <c r="J502" s="17" t="n">
        <f aca="false">F502*(G502-H502)</f>
        <v>250</v>
      </c>
    </row>
    <row r="503" customFormat="false" ht="15" hidden="false" customHeight="false" outlineLevel="0" collapsed="false">
      <c r="A503" s="15" t="n">
        <v>46305</v>
      </c>
      <c r="B503" s="16" t="n">
        <f aca="false">MONTH(A503)</f>
        <v>10</v>
      </c>
      <c r="C503" s="16" t="s">
        <v>40</v>
      </c>
      <c r="D503" s="16" t="s">
        <v>31</v>
      </c>
      <c r="E503" s="16" t="s">
        <v>50</v>
      </c>
      <c r="F503" s="16" t="n">
        <v>5</v>
      </c>
      <c r="G503" s="17" t="n">
        <v>4200</v>
      </c>
      <c r="H503" s="17" t="n">
        <v>3300</v>
      </c>
      <c r="I503" s="17" t="n">
        <f aca="false">F503*G503</f>
        <v>21000</v>
      </c>
      <c r="J503" s="17" t="n">
        <f aca="false">F503*(G503-H503)</f>
        <v>4500</v>
      </c>
    </row>
    <row r="504" customFormat="false" ht="15" hidden="false" customHeight="false" outlineLevel="0" collapsed="false">
      <c r="A504" s="15" t="n">
        <v>46052</v>
      </c>
      <c r="B504" s="16" t="n">
        <f aca="false">MONTH(A504)</f>
        <v>1</v>
      </c>
      <c r="C504" s="16" t="s">
        <v>43</v>
      </c>
      <c r="D504" s="16" t="s">
        <v>30</v>
      </c>
      <c r="E504" s="16" t="s">
        <v>50</v>
      </c>
      <c r="F504" s="16" t="n">
        <v>4</v>
      </c>
      <c r="G504" s="17" t="n">
        <v>18500</v>
      </c>
      <c r="H504" s="17" t="n">
        <v>15000</v>
      </c>
      <c r="I504" s="17" t="n">
        <f aca="false">F504*G504</f>
        <v>74000</v>
      </c>
      <c r="J504" s="17" t="n">
        <f aca="false">F504*(G504-H504)</f>
        <v>14000</v>
      </c>
    </row>
    <row r="505" customFormat="false" ht="15" hidden="false" customHeight="false" outlineLevel="0" collapsed="false">
      <c r="A505" s="15" t="n">
        <v>46381</v>
      </c>
      <c r="B505" s="16" t="n">
        <f aca="false">MONTH(A505)</f>
        <v>12</v>
      </c>
      <c r="C505" s="16" t="s">
        <v>43</v>
      </c>
      <c r="D505" s="16" t="s">
        <v>30</v>
      </c>
      <c r="E505" s="16" t="s">
        <v>50</v>
      </c>
      <c r="F505" s="16" t="n">
        <v>3</v>
      </c>
      <c r="G505" s="17" t="n">
        <v>18500</v>
      </c>
      <c r="H505" s="17" t="n">
        <v>15000</v>
      </c>
      <c r="I505" s="17" t="n">
        <f aca="false">F505*G505</f>
        <v>55500</v>
      </c>
      <c r="J505" s="17" t="n">
        <f aca="false">F505*(G505-H505)</f>
        <v>10500</v>
      </c>
    </row>
    <row r="506" customFormat="false" ht="15" hidden="false" customHeight="false" outlineLevel="0" collapsed="false">
      <c r="A506" s="15" t="n">
        <v>46222</v>
      </c>
      <c r="B506" s="16" t="n">
        <f aca="false">MONTH(A506)</f>
        <v>7</v>
      </c>
      <c r="C506" s="16" t="s">
        <v>41</v>
      </c>
      <c r="D506" s="16" t="s">
        <v>31</v>
      </c>
      <c r="E506" s="16" t="s">
        <v>50</v>
      </c>
      <c r="F506" s="16" t="n">
        <v>6</v>
      </c>
      <c r="G506" s="17" t="n">
        <v>4200</v>
      </c>
      <c r="H506" s="17" t="n">
        <v>3300</v>
      </c>
      <c r="I506" s="17" t="n">
        <f aca="false">F506*G506</f>
        <v>25200</v>
      </c>
      <c r="J506" s="17" t="n">
        <f aca="false">F506*(G506-H506)</f>
        <v>5400</v>
      </c>
    </row>
    <row r="507" customFormat="false" ht="15" hidden="false" customHeight="false" outlineLevel="0" collapsed="false">
      <c r="A507" s="15" t="n">
        <v>46217</v>
      </c>
      <c r="B507" s="16" t="n">
        <f aca="false">MONTH(A507)</f>
        <v>7</v>
      </c>
      <c r="C507" s="16" t="s">
        <v>42</v>
      </c>
      <c r="D507" s="16" t="s">
        <v>34</v>
      </c>
      <c r="E507" s="16" t="s">
        <v>51</v>
      </c>
      <c r="F507" s="16" t="n">
        <v>1</v>
      </c>
      <c r="G507" s="17" t="n">
        <v>250</v>
      </c>
      <c r="H507" s="17" t="n">
        <v>140</v>
      </c>
      <c r="I507" s="17" t="n">
        <f aca="false">F507*G507</f>
        <v>250</v>
      </c>
      <c r="J507" s="17" t="n">
        <f aca="false">F507*(G507-H507)</f>
        <v>110</v>
      </c>
    </row>
    <row r="508" customFormat="false" ht="15" hidden="false" customHeight="false" outlineLevel="0" collapsed="false">
      <c r="A508" s="15" t="n">
        <v>46052</v>
      </c>
      <c r="B508" s="16" t="n">
        <f aca="false">MONTH(A508)</f>
        <v>1</v>
      </c>
      <c r="C508" s="16" t="s">
        <v>40</v>
      </c>
      <c r="D508" s="16" t="s">
        <v>36</v>
      </c>
      <c r="E508" s="16" t="s">
        <v>51</v>
      </c>
      <c r="F508" s="16" t="n">
        <v>9</v>
      </c>
      <c r="G508" s="17" t="n">
        <v>700</v>
      </c>
      <c r="H508" s="17" t="n">
        <v>480</v>
      </c>
      <c r="I508" s="17" t="n">
        <f aca="false">F508*G508</f>
        <v>6300</v>
      </c>
      <c r="J508" s="17" t="n">
        <f aca="false">F508*(G508-H508)</f>
        <v>1980</v>
      </c>
    </row>
    <row r="509" customFormat="false" ht="15" hidden="false" customHeight="false" outlineLevel="0" collapsed="false">
      <c r="A509" s="15" t="n">
        <v>46049</v>
      </c>
      <c r="B509" s="16" t="n">
        <f aca="false">MONTH(A509)</f>
        <v>1</v>
      </c>
      <c r="C509" s="16" t="s">
        <v>43</v>
      </c>
      <c r="D509" s="16" t="s">
        <v>30</v>
      </c>
      <c r="E509" s="16" t="s">
        <v>50</v>
      </c>
      <c r="F509" s="16" t="n">
        <v>5</v>
      </c>
      <c r="G509" s="17" t="n">
        <v>18500</v>
      </c>
      <c r="H509" s="17" t="n">
        <v>15000</v>
      </c>
      <c r="I509" s="17" t="n">
        <f aca="false">F509*G509</f>
        <v>92500</v>
      </c>
      <c r="J509" s="17" t="n">
        <f aca="false">F509*(G509-H509)</f>
        <v>17500</v>
      </c>
    </row>
    <row r="510" customFormat="false" ht="15" hidden="false" customHeight="false" outlineLevel="0" collapsed="false">
      <c r="A510" s="15" t="n">
        <v>46304</v>
      </c>
      <c r="B510" s="16" t="n">
        <f aca="false">MONTH(A510)</f>
        <v>10</v>
      </c>
      <c r="C510" s="16" t="s">
        <v>41</v>
      </c>
      <c r="D510" s="16" t="s">
        <v>33</v>
      </c>
      <c r="E510" s="16" t="s">
        <v>51</v>
      </c>
      <c r="F510" s="16" t="n">
        <v>7</v>
      </c>
      <c r="G510" s="17" t="n">
        <v>450</v>
      </c>
      <c r="H510" s="17" t="n">
        <v>280</v>
      </c>
      <c r="I510" s="17" t="n">
        <f aca="false">F510*G510</f>
        <v>3150</v>
      </c>
      <c r="J510" s="17" t="n">
        <f aca="false">F510*(G510-H510)</f>
        <v>1190</v>
      </c>
    </row>
    <row r="511" customFormat="false" ht="15" hidden="false" customHeight="false" outlineLevel="0" collapsed="false">
      <c r="A511" s="15" t="n">
        <v>46337</v>
      </c>
      <c r="B511" s="16" t="n">
        <f aca="false">MONTH(A511)</f>
        <v>11</v>
      </c>
      <c r="C511" s="16" t="s">
        <v>41</v>
      </c>
      <c r="D511" s="16" t="s">
        <v>36</v>
      </c>
      <c r="E511" s="16" t="s">
        <v>51</v>
      </c>
      <c r="F511" s="16" t="n">
        <v>1</v>
      </c>
      <c r="G511" s="17" t="n">
        <v>700</v>
      </c>
      <c r="H511" s="17" t="n">
        <v>480</v>
      </c>
      <c r="I511" s="17" t="n">
        <f aca="false">F511*G511</f>
        <v>700</v>
      </c>
      <c r="J511" s="17" t="n">
        <f aca="false">F511*(G511-H511)</f>
        <v>220</v>
      </c>
    </row>
    <row r="512" customFormat="false" ht="15" hidden="false" customHeight="false" outlineLevel="0" collapsed="false">
      <c r="A512" s="15" t="n">
        <v>46116</v>
      </c>
      <c r="B512" s="16" t="n">
        <f aca="false">MONTH(A512)</f>
        <v>4</v>
      </c>
      <c r="C512" s="16" t="s">
        <v>43</v>
      </c>
      <c r="D512" s="16" t="s">
        <v>33</v>
      </c>
      <c r="E512" s="16" t="s">
        <v>51</v>
      </c>
      <c r="F512" s="16" t="n">
        <v>3</v>
      </c>
      <c r="G512" s="17" t="n">
        <v>450</v>
      </c>
      <c r="H512" s="17" t="n">
        <v>280</v>
      </c>
      <c r="I512" s="17" t="n">
        <f aca="false">F512*G512</f>
        <v>1350</v>
      </c>
      <c r="J512" s="17" t="n">
        <f aca="false">F512*(G512-H512)</f>
        <v>510</v>
      </c>
    </row>
    <row r="513" customFormat="false" ht="15" hidden="false" customHeight="false" outlineLevel="0" collapsed="false">
      <c r="A513" s="15" t="n">
        <v>46206</v>
      </c>
      <c r="B513" s="16" t="n">
        <f aca="false">MONTH(A513)</f>
        <v>7</v>
      </c>
      <c r="C513" s="16" t="s">
        <v>43</v>
      </c>
      <c r="D513" s="16" t="s">
        <v>36</v>
      </c>
      <c r="E513" s="16" t="s">
        <v>51</v>
      </c>
      <c r="F513" s="16" t="n">
        <v>6</v>
      </c>
      <c r="G513" s="17" t="n">
        <v>700</v>
      </c>
      <c r="H513" s="17" t="n">
        <v>480</v>
      </c>
      <c r="I513" s="17" t="n">
        <f aca="false">F513*G513</f>
        <v>4200</v>
      </c>
      <c r="J513" s="17" t="n">
        <f aca="false">F513*(G513-H513)</f>
        <v>1320</v>
      </c>
    </row>
    <row r="514" customFormat="false" ht="15" hidden="false" customHeight="false" outlineLevel="0" collapsed="false">
      <c r="A514" s="15" t="n">
        <v>46347</v>
      </c>
      <c r="B514" s="16" t="n">
        <f aca="false">MONTH(A514)</f>
        <v>11</v>
      </c>
      <c r="C514" s="16" t="s">
        <v>40</v>
      </c>
      <c r="D514" s="16" t="s">
        <v>36</v>
      </c>
      <c r="E514" s="16" t="s">
        <v>51</v>
      </c>
      <c r="F514" s="16" t="n">
        <v>3</v>
      </c>
      <c r="G514" s="17" t="n">
        <v>700</v>
      </c>
      <c r="H514" s="17" t="n">
        <v>480</v>
      </c>
      <c r="I514" s="17" t="n">
        <f aca="false">F514*G514</f>
        <v>2100</v>
      </c>
      <c r="J514" s="17" t="n">
        <f aca="false">F514*(G514-H514)</f>
        <v>660</v>
      </c>
    </row>
    <row r="515" customFormat="false" ht="15" hidden="false" customHeight="false" outlineLevel="0" collapsed="false">
      <c r="A515" s="15" t="n">
        <v>46342</v>
      </c>
      <c r="B515" s="16" t="n">
        <f aca="false">MONTH(A515)</f>
        <v>11</v>
      </c>
      <c r="C515" s="16" t="s">
        <v>43</v>
      </c>
      <c r="D515" s="16" t="s">
        <v>35</v>
      </c>
      <c r="E515" s="16" t="s">
        <v>52</v>
      </c>
      <c r="F515" s="16" t="n">
        <v>11</v>
      </c>
      <c r="G515" s="17" t="n">
        <v>900</v>
      </c>
      <c r="H515" s="17" t="n">
        <v>650</v>
      </c>
      <c r="I515" s="17" t="n">
        <f aca="false">F515*G515</f>
        <v>9900</v>
      </c>
      <c r="J515" s="17" t="n">
        <f aca="false">F515*(G515-H515)</f>
        <v>2750</v>
      </c>
    </row>
    <row r="516" customFormat="false" ht="15" hidden="false" customHeight="false" outlineLevel="0" collapsed="false">
      <c r="A516" s="15" t="n">
        <v>46235</v>
      </c>
      <c r="B516" s="16" t="n">
        <f aca="false">MONTH(A516)</f>
        <v>8</v>
      </c>
      <c r="C516" s="16" t="s">
        <v>40</v>
      </c>
      <c r="D516" s="16" t="s">
        <v>34</v>
      </c>
      <c r="E516" s="16" t="s">
        <v>51</v>
      </c>
      <c r="F516" s="16" t="n">
        <v>1</v>
      </c>
      <c r="G516" s="17" t="n">
        <v>250</v>
      </c>
      <c r="H516" s="17" t="n">
        <v>140</v>
      </c>
      <c r="I516" s="17" t="n">
        <f aca="false">F516*G516</f>
        <v>250</v>
      </c>
      <c r="J516" s="17" t="n">
        <f aca="false">F516*(G516-H516)</f>
        <v>110</v>
      </c>
    </row>
    <row r="517" customFormat="false" ht="15" hidden="false" customHeight="false" outlineLevel="0" collapsed="false">
      <c r="A517" s="15" t="n">
        <v>46081</v>
      </c>
      <c r="B517" s="16" t="n">
        <f aca="false">MONTH(A517)</f>
        <v>2</v>
      </c>
      <c r="C517" s="16" t="s">
        <v>41</v>
      </c>
      <c r="D517" s="16" t="s">
        <v>36</v>
      </c>
      <c r="E517" s="16" t="s">
        <v>51</v>
      </c>
      <c r="F517" s="16" t="n">
        <v>5</v>
      </c>
      <c r="G517" s="17" t="n">
        <v>700</v>
      </c>
      <c r="H517" s="17" t="n">
        <v>480</v>
      </c>
      <c r="I517" s="17" t="n">
        <f aca="false">F517*G517</f>
        <v>3500</v>
      </c>
      <c r="J517" s="17" t="n">
        <f aca="false">F517*(G517-H517)</f>
        <v>1100</v>
      </c>
    </row>
    <row r="518" customFormat="false" ht="15" hidden="false" customHeight="false" outlineLevel="0" collapsed="false">
      <c r="A518" s="15" t="n">
        <v>46336</v>
      </c>
      <c r="B518" s="16" t="n">
        <f aca="false">MONTH(A518)</f>
        <v>11</v>
      </c>
      <c r="C518" s="16" t="s">
        <v>42</v>
      </c>
      <c r="D518" s="16" t="s">
        <v>30</v>
      </c>
      <c r="E518" s="16" t="s">
        <v>50</v>
      </c>
      <c r="F518" s="16" t="n">
        <v>3</v>
      </c>
      <c r="G518" s="17" t="n">
        <v>18500</v>
      </c>
      <c r="H518" s="17" t="n">
        <v>15000</v>
      </c>
      <c r="I518" s="17" t="n">
        <f aca="false">F518*G518</f>
        <v>55500</v>
      </c>
      <c r="J518" s="17" t="n">
        <f aca="false">F518*(G518-H518)</f>
        <v>10500</v>
      </c>
    </row>
    <row r="519" customFormat="false" ht="15" hidden="false" customHeight="false" outlineLevel="0" collapsed="false">
      <c r="A519" s="15" t="n">
        <v>46053</v>
      </c>
      <c r="B519" s="16" t="n">
        <f aca="false">MONTH(A519)</f>
        <v>1</v>
      </c>
      <c r="C519" s="16" t="s">
        <v>42</v>
      </c>
      <c r="D519" s="16" t="s">
        <v>35</v>
      </c>
      <c r="E519" s="16" t="s">
        <v>52</v>
      </c>
      <c r="F519" s="16" t="n">
        <v>7</v>
      </c>
      <c r="G519" s="17" t="n">
        <v>900</v>
      </c>
      <c r="H519" s="17" t="n">
        <v>650</v>
      </c>
      <c r="I519" s="17" t="n">
        <f aca="false">F519*G519</f>
        <v>6300</v>
      </c>
      <c r="J519" s="17" t="n">
        <f aca="false">F519*(G519-H519)</f>
        <v>1750</v>
      </c>
    </row>
    <row r="520" customFormat="false" ht="15" hidden="false" customHeight="false" outlineLevel="0" collapsed="false">
      <c r="A520" s="15" t="n">
        <v>46064</v>
      </c>
      <c r="B520" s="16" t="n">
        <f aca="false">MONTH(A520)</f>
        <v>2</v>
      </c>
      <c r="C520" s="16" t="s">
        <v>41</v>
      </c>
      <c r="D520" s="16" t="s">
        <v>30</v>
      </c>
      <c r="E520" s="16" t="s">
        <v>50</v>
      </c>
      <c r="F520" s="16" t="n">
        <v>3</v>
      </c>
      <c r="G520" s="17" t="n">
        <v>18500</v>
      </c>
      <c r="H520" s="17" t="n">
        <v>15000</v>
      </c>
      <c r="I520" s="17" t="n">
        <f aca="false">F520*G520</f>
        <v>55500</v>
      </c>
      <c r="J520" s="17" t="n">
        <f aca="false">F520*(G520-H520)</f>
        <v>10500</v>
      </c>
    </row>
    <row r="521" customFormat="false" ht="15" hidden="false" customHeight="false" outlineLevel="0" collapsed="false">
      <c r="A521" s="15" t="n">
        <v>46199</v>
      </c>
      <c r="B521" s="16" t="n">
        <f aca="false">MONTH(A521)</f>
        <v>6</v>
      </c>
      <c r="C521" s="16" t="s">
        <v>41</v>
      </c>
      <c r="D521" s="16" t="s">
        <v>36</v>
      </c>
      <c r="E521" s="16" t="s">
        <v>51</v>
      </c>
      <c r="F521" s="16" t="n">
        <v>3</v>
      </c>
      <c r="G521" s="17" t="n">
        <v>700</v>
      </c>
      <c r="H521" s="17" t="n">
        <v>480</v>
      </c>
      <c r="I521" s="17" t="n">
        <f aca="false">F521*G521</f>
        <v>2100</v>
      </c>
      <c r="J521" s="17" t="n">
        <f aca="false">F521*(G521-H521)</f>
        <v>660</v>
      </c>
    </row>
    <row r="522" customFormat="false" ht="15" hidden="false" customHeight="false" outlineLevel="0" collapsed="false">
      <c r="A522" s="15" t="n">
        <v>46187</v>
      </c>
      <c r="B522" s="16" t="n">
        <f aca="false">MONTH(A522)</f>
        <v>6</v>
      </c>
      <c r="C522" s="16" t="s">
        <v>40</v>
      </c>
      <c r="D522" s="16" t="s">
        <v>35</v>
      </c>
      <c r="E522" s="16" t="s">
        <v>52</v>
      </c>
      <c r="F522" s="16" t="n">
        <v>10</v>
      </c>
      <c r="G522" s="17" t="n">
        <v>900</v>
      </c>
      <c r="H522" s="17" t="n">
        <v>650</v>
      </c>
      <c r="I522" s="17" t="n">
        <f aca="false">F522*G522</f>
        <v>9000</v>
      </c>
      <c r="J522" s="17" t="n">
        <f aca="false">F522*(G522-H522)</f>
        <v>2500</v>
      </c>
    </row>
    <row r="523" customFormat="false" ht="15" hidden="false" customHeight="false" outlineLevel="0" collapsed="false">
      <c r="A523" s="15" t="n">
        <v>46104</v>
      </c>
      <c r="B523" s="16" t="n">
        <f aca="false">MONTH(A523)</f>
        <v>3</v>
      </c>
      <c r="C523" s="16" t="s">
        <v>42</v>
      </c>
      <c r="D523" s="16" t="s">
        <v>30</v>
      </c>
      <c r="E523" s="16" t="s">
        <v>50</v>
      </c>
      <c r="F523" s="16" t="n">
        <v>1</v>
      </c>
      <c r="G523" s="17" t="n">
        <v>18500</v>
      </c>
      <c r="H523" s="17" t="n">
        <v>15000</v>
      </c>
      <c r="I523" s="17" t="n">
        <f aca="false">F523*G523</f>
        <v>18500</v>
      </c>
      <c r="J523" s="17" t="n">
        <f aca="false">F523*(G523-H523)</f>
        <v>3500</v>
      </c>
    </row>
    <row r="524" customFormat="false" ht="15" hidden="false" customHeight="false" outlineLevel="0" collapsed="false">
      <c r="A524" s="15" t="n">
        <v>46333</v>
      </c>
      <c r="B524" s="16" t="n">
        <f aca="false">MONTH(A524)</f>
        <v>11</v>
      </c>
      <c r="C524" s="16" t="s">
        <v>41</v>
      </c>
      <c r="D524" s="16" t="s">
        <v>36</v>
      </c>
      <c r="E524" s="16" t="s">
        <v>51</v>
      </c>
      <c r="F524" s="16" t="n">
        <v>1</v>
      </c>
      <c r="G524" s="17" t="n">
        <v>700</v>
      </c>
      <c r="H524" s="17" t="n">
        <v>480</v>
      </c>
      <c r="I524" s="17" t="n">
        <f aca="false">F524*G524</f>
        <v>700</v>
      </c>
      <c r="J524" s="17" t="n">
        <f aca="false">F524*(G524-H524)</f>
        <v>220</v>
      </c>
    </row>
    <row r="525" customFormat="false" ht="15" hidden="false" customHeight="false" outlineLevel="0" collapsed="false">
      <c r="A525" s="15" t="n">
        <v>46083</v>
      </c>
      <c r="B525" s="16" t="n">
        <f aca="false">MONTH(A525)</f>
        <v>3</v>
      </c>
      <c r="C525" s="16" t="s">
        <v>42</v>
      </c>
      <c r="D525" s="16" t="s">
        <v>35</v>
      </c>
      <c r="E525" s="16" t="s">
        <v>52</v>
      </c>
      <c r="F525" s="16" t="n">
        <v>10</v>
      </c>
      <c r="G525" s="17" t="n">
        <v>900</v>
      </c>
      <c r="H525" s="17" t="n">
        <v>650</v>
      </c>
      <c r="I525" s="17" t="n">
        <f aca="false">F525*G525</f>
        <v>9000</v>
      </c>
      <c r="J525" s="17" t="n">
        <f aca="false">F525*(G525-H525)</f>
        <v>2500</v>
      </c>
    </row>
    <row r="526" customFormat="false" ht="15" hidden="false" customHeight="false" outlineLevel="0" collapsed="false">
      <c r="A526" s="15" t="n">
        <v>46198</v>
      </c>
      <c r="B526" s="16" t="n">
        <f aca="false">MONTH(A526)</f>
        <v>6</v>
      </c>
      <c r="C526" s="16" t="s">
        <v>40</v>
      </c>
      <c r="D526" s="16" t="s">
        <v>34</v>
      </c>
      <c r="E526" s="16" t="s">
        <v>51</v>
      </c>
      <c r="F526" s="16" t="n">
        <v>7</v>
      </c>
      <c r="G526" s="17" t="n">
        <v>250</v>
      </c>
      <c r="H526" s="17" t="n">
        <v>140</v>
      </c>
      <c r="I526" s="17" t="n">
        <f aca="false">F526*G526</f>
        <v>1750</v>
      </c>
      <c r="J526" s="17" t="n">
        <f aca="false">F526*(G526-H526)</f>
        <v>770</v>
      </c>
    </row>
    <row r="527" customFormat="false" ht="15" hidden="false" customHeight="false" outlineLevel="0" collapsed="false">
      <c r="A527" s="15" t="n">
        <v>46286</v>
      </c>
      <c r="B527" s="16" t="n">
        <f aca="false">MONTH(A527)</f>
        <v>9</v>
      </c>
      <c r="C527" s="16" t="s">
        <v>42</v>
      </c>
      <c r="D527" s="16" t="s">
        <v>33</v>
      </c>
      <c r="E527" s="16" t="s">
        <v>51</v>
      </c>
      <c r="F527" s="16" t="n">
        <v>1</v>
      </c>
      <c r="G527" s="17" t="n">
        <v>450</v>
      </c>
      <c r="H527" s="17" t="n">
        <v>280</v>
      </c>
      <c r="I527" s="17" t="n">
        <f aca="false">F527*G527</f>
        <v>450</v>
      </c>
      <c r="J527" s="17" t="n">
        <f aca="false">F527*(G527-H527)</f>
        <v>170</v>
      </c>
    </row>
    <row r="528" customFormat="false" ht="15" hidden="false" customHeight="false" outlineLevel="0" collapsed="false">
      <c r="A528" s="15" t="n">
        <v>46159</v>
      </c>
      <c r="B528" s="16" t="n">
        <f aca="false">MONTH(A528)</f>
        <v>5</v>
      </c>
      <c r="C528" s="16" t="s">
        <v>40</v>
      </c>
      <c r="D528" s="16" t="s">
        <v>31</v>
      </c>
      <c r="E528" s="16" t="s">
        <v>50</v>
      </c>
      <c r="F528" s="16" t="n">
        <v>12</v>
      </c>
      <c r="G528" s="17" t="n">
        <v>4200</v>
      </c>
      <c r="H528" s="17" t="n">
        <v>3300</v>
      </c>
      <c r="I528" s="17" t="n">
        <f aca="false">F528*G528</f>
        <v>50400</v>
      </c>
      <c r="J528" s="17" t="n">
        <f aca="false">F528*(G528-H528)</f>
        <v>10800</v>
      </c>
    </row>
    <row r="529" customFormat="false" ht="15" hidden="false" customHeight="false" outlineLevel="0" collapsed="false">
      <c r="A529" s="15" t="n">
        <v>46134</v>
      </c>
      <c r="B529" s="16" t="n">
        <f aca="false">MONTH(A529)</f>
        <v>4</v>
      </c>
      <c r="C529" s="16" t="s">
        <v>40</v>
      </c>
      <c r="D529" s="16" t="s">
        <v>35</v>
      </c>
      <c r="E529" s="16" t="s">
        <v>52</v>
      </c>
      <c r="F529" s="16" t="n">
        <v>3</v>
      </c>
      <c r="G529" s="17" t="n">
        <v>900</v>
      </c>
      <c r="H529" s="17" t="n">
        <v>650</v>
      </c>
      <c r="I529" s="17" t="n">
        <f aca="false">F529*G529</f>
        <v>2700</v>
      </c>
      <c r="J529" s="17" t="n">
        <f aca="false">F529*(G529-H529)</f>
        <v>750</v>
      </c>
    </row>
    <row r="530" customFormat="false" ht="15" hidden="false" customHeight="false" outlineLevel="0" collapsed="false">
      <c r="A530" s="15" t="n">
        <v>46191</v>
      </c>
      <c r="B530" s="16" t="n">
        <f aca="false">MONTH(A530)</f>
        <v>6</v>
      </c>
      <c r="C530" s="16" t="s">
        <v>43</v>
      </c>
      <c r="D530" s="16" t="s">
        <v>31</v>
      </c>
      <c r="E530" s="16" t="s">
        <v>50</v>
      </c>
      <c r="F530" s="16" t="n">
        <v>4</v>
      </c>
      <c r="G530" s="17" t="n">
        <v>4200</v>
      </c>
      <c r="H530" s="17" t="n">
        <v>3300</v>
      </c>
      <c r="I530" s="17" t="n">
        <f aca="false">F530*G530</f>
        <v>16800</v>
      </c>
      <c r="J530" s="17" t="n">
        <f aca="false">F530*(G530-H530)</f>
        <v>3600</v>
      </c>
    </row>
    <row r="531" customFormat="false" ht="15" hidden="false" customHeight="false" outlineLevel="0" collapsed="false">
      <c r="A531" s="15" t="n">
        <v>46113</v>
      </c>
      <c r="B531" s="16" t="n">
        <f aca="false">MONTH(A531)</f>
        <v>4</v>
      </c>
      <c r="C531" s="16" t="s">
        <v>42</v>
      </c>
      <c r="D531" s="16" t="s">
        <v>33</v>
      </c>
      <c r="E531" s="16" t="s">
        <v>51</v>
      </c>
      <c r="F531" s="16" t="n">
        <v>11</v>
      </c>
      <c r="G531" s="17" t="n">
        <v>450</v>
      </c>
      <c r="H531" s="17" t="n">
        <v>280</v>
      </c>
      <c r="I531" s="17" t="n">
        <f aca="false">F531*G531</f>
        <v>4950</v>
      </c>
      <c r="J531" s="17" t="n">
        <f aca="false">F531*(G531-H531)</f>
        <v>1870</v>
      </c>
    </row>
    <row r="532" customFormat="false" ht="15" hidden="false" customHeight="false" outlineLevel="0" collapsed="false">
      <c r="A532" s="15" t="n">
        <v>46225</v>
      </c>
      <c r="B532" s="16" t="n">
        <f aca="false">MONTH(A532)</f>
        <v>7</v>
      </c>
      <c r="C532" s="16" t="s">
        <v>43</v>
      </c>
      <c r="D532" s="16" t="s">
        <v>31</v>
      </c>
      <c r="E532" s="16" t="s">
        <v>50</v>
      </c>
      <c r="F532" s="16" t="n">
        <v>5</v>
      </c>
      <c r="G532" s="17" t="n">
        <v>4200</v>
      </c>
      <c r="H532" s="17" t="n">
        <v>3300</v>
      </c>
      <c r="I532" s="17" t="n">
        <f aca="false">F532*G532</f>
        <v>21000</v>
      </c>
      <c r="J532" s="17" t="n">
        <f aca="false">F532*(G532-H532)</f>
        <v>4500</v>
      </c>
    </row>
    <row r="533" customFormat="false" ht="15" hidden="false" customHeight="false" outlineLevel="0" collapsed="false">
      <c r="A533" s="15" t="n">
        <v>46214</v>
      </c>
      <c r="B533" s="16" t="n">
        <f aca="false">MONTH(A533)</f>
        <v>7</v>
      </c>
      <c r="C533" s="16" t="s">
        <v>41</v>
      </c>
      <c r="D533" s="16" t="s">
        <v>33</v>
      </c>
      <c r="E533" s="16" t="s">
        <v>51</v>
      </c>
      <c r="F533" s="16" t="n">
        <v>10</v>
      </c>
      <c r="G533" s="17" t="n">
        <v>450</v>
      </c>
      <c r="H533" s="17" t="n">
        <v>280</v>
      </c>
      <c r="I533" s="17" t="n">
        <f aca="false">F533*G533</f>
        <v>4500</v>
      </c>
      <c r="J533" s="17" t="n">
        <f aca="false">F533*(G533-H533)</f>
        <v>1700</v>
      </c>
    </row>
    <row r="534" customFormat="false" ht="15" hidden="false" customHeight="false" outlineLevel="0" collapsed="false">
      <c r="A534" s="15" t="n">
        <v>46340</v>
      </c>
      <c r="B534" s="16" t="n">
        <f aca="false">MONTH(A534)</f>
        <v>11</v>
      </c>
      <c r="C534" s="16" t="s">
        <v>41</v>
      </c>
      <c r="D534" s="16" t="s">
        <v>33</v>
      </c>
      <c r="E534" s="16" t="s">
        <v>51</v>
      </c>
      <c r="F534" s="16" t="n">
        <v>6</v>
      </c>
      <c r="G534" s="17" t="n">
        <v>450</v>
      </c>
      <c r="H534" s="17" t="n">
        <v>280</v>
      </c>
      <c r="I534" s="17" t="n">
        <f aca="false">F534*G534</f>
        <v>2700</v>
      </c>
      <c r="J534" s="17" t="n">
        <f aca="false">F534*(G534-H534)</f>
        <v>1020</v>
      </c>
    </row>
    <row r="535" customFormat="false" ht="15" hidden="false" customHeight="false" outlineLevel="0" collapsed="false">
      <c r="A535" s="15" t="n">
        <v>46071</v>
      </c>
      <c r="B535" s="16" t="n">
        <f aca="false">MONTH(A535)</f>
        <v>2</v>
      </c>
      <c r="C535" s="16" t="s">
        <v>42</v>
      </c>
      <c r="D535" s="16" t="s">
        <v>34</v>
      </c>
      <c r="E535" s="16" t="s">
        <v>51</v>
      </c>
      <c r="F535" s="16" t="n">
        <v>6</v>
      </c>
      <c r="G535" s="17" t="n">
        <v>250</v>
      </c>
      <c r="H535" s="17" t="n">
        <v>140</v>
      </c>
      <c r="I535" s="17" t="n">
        <f aca="false">F535*G535</f>
        <v>1500</v>
      </c>
      <c r="J535" s="17" t="n">
        <f aca="false">F535*(G535-H535)</f>
        <v>660</v>
      </c>
    </row>
    <row r="536" customFormat="false" ht="15" hidden="false" customHeight="false" outlineLevel="0" collapsed="false">
      <c r="A536" s="15" t="n">
        <v>46320</v>
      </c>
      <c r="B536" s="16" t="n">
        <f aca="false">MONTH(A536)</f>
        <v>10</v>
      </c>
      <c r="C536" s="16" t="s">
        <v>43</v>
      </c>
      <c r="D536" s="16" t="s">
        <v>33</v>
      </c>
      <c r="E536" s="16" t="s">
        <v>51</v>
      </c>
      <c r="F536" s="16" t="n">
        <v>10</v>
      </c>
      <c r="G536" s="17" t="n">
        <v>450</v>
      </c>
      <c r="H536" s="17" t="n">
        <v>280</v>
      </c>
      <c r="I536" s="17" t="n">
        <f aca="false">F536*G536</f>
        <v>4500</v>
      </c>
      <c r="J536" s="17" t="n">
        <f aca="false">F536*(G536-H536)</f>
        <v>1700</v>
      </c>
    </row>
    <row r="537" customFormat="false" ht="15" hidden="false" customHeight="false" outlineLevel="0" collapsed="false">
      <c r="A537" s="15" t="n">
        <v>46197</v>
      </c>
      <c r="B537" s="16" t="n">
        <f aca="false">MONTH(A537)</f>
        <v>6</v>
      </c>
      <c r="C537" s="16" t="s">
        <v>41</v>
      </c>
      <c r="D537" s="16" t="s">
        <v>33</v>
      </c>
      <c r="E537" s="16" t="s">
        <v>51</v>
      </c>
      <c r="F537" s="16" t="n">
        <v>4</v>
      </c>
      <c r="G537" s="17" t="n">
        <v>450</v>
      </c>
      <c r="H537" s="17" t="n">
        <v>280</v>
      </c>
      <c r="I537" s="17" t="n">
        <f aca="false">F537*G537</f>
        <v>1800</v>
      </c>
      <c r="J537" s="17" t="n">
        <f aca="false">F537*(G537-H537)</f>
        <v>680</v>
      </c>
    </row>
    <row r="538" customFormat="false" ht="15" hidden="false" customHeight="false" outlineLevel="0" collapsed="false">
      <c r="A538" s="15" t="n">
        <v>46328</v>
      </c>
      <c r="B538" s="16" t="n">
        <f aca="false">MONTH(A538)</f>
        <v>11</v>
      </c>
      <c r="C538" s="16" t="s">
        <v>41</v>
      </c>
      <c r="D538" s="16" t="s">
        <v>34</v>
      </c>
      <c r="E538" s="16" t="s">
        <v>51</v>
      </c>
      <c r="F538" s="16" t="n">
        <v>2</v>
      </c>
      <c r="G538" s="17" t="n">
        <v>250</v>
      </c>
      <c r="H538" s="17" t="n">
        <v>140</v>
      </c>
      <c r="I538" s="17" t="n">
        <f aca="false">F538*G538</f>
        <v>500</v>
      </c>
      <c r="J538" s="17" t="n">
        <f aca="false">F538*(G538-H538)</f>
        <v>220</v>
      </c>
    </row>
    <row r="539" customFormat="false" ht="15" hidden="false" customHeight="false" outlineLevel="0" collapsed="false">
      <c r="A539" s="15" t="n">
        <v>46144</v>
      </c>
      <c r="B539" s="16" t="n">
        <f aca="false">MONTH(A539)</f>
        <v>5</v>
      </c>
      <c r="C539" s="16" t="s">
        <v>40</v>
      </c>
      <c r="D539" s="16" t="s">
        <v>32</v>
      </c>
      <c r="E539" s="16" t="s">
        <v>50</v>
      </c>
      <c r="F539" s="16" t="n">
        <v>8</v>
      </c>
      <c r="G539" s="17" t="n">
        <v>3800</v>
      </c>
      <c r="H539" s="17" t="n">
        <v>3000</v>
      </c>
      <c r="I539" s="17" t="n">
        <f aca="false">F539*G539</f>
        <v>30400</v>
      </c>
      <c r="J539" s="17" t="n">
        <f aca="false">F539*(G539-H539)</f>
        <v>6400</v>
      </c>
    </row>
    <row r="540" customFormat="false" ht="15" hidden="false" customHeight="false" outlineLevel="0" collapsed="false">
      <c r="A540" s="15" t="n">
        <v>46356</v>
      </c>
      <c r="B540" s="16" t="n">
        <f aca="false">MONTH(A540)</f>
        <v>11</v>
      </c>
      <c r="C540" s="16" t="s">
        <v>41</v>
      </c>
      <c r="D540" s="16" t="s">
        <v>33</v>
      </c>
      <c r="E540" s="16" t="s">
        <v>51</v>
      </c>
      <c r="F540" s="16" t="n">
        <v>11</v>
      </c>
      <c r="G540" s="17" t="n">
        <v>450</v>
      </c>
      <c r="H540" s="17" t="n">
        <v>280</v>
      </c>
      <c r="I540" s="17" t="n">
        <f aca="false">F540*G540</f>
        <v>4950</v>
      </c>
      <c r="J540" s="17" t="n">
        <f aca="false">F540*(G540-H540)</f>
        <v>1870</v>
      </c>
    </row>
    <row r="541" customFormat="false" ht="15" hidden="false" customHeight="false" outlineLevel="0" collapsed="false">
      <c r="A541" s="15" t="n">
        <v>46125</v>
      </c>
      <c r="B541" s="16" t="n">
        <f aca="false">MONTH(A541)</f>
        <v>4</v>
      </c>
      <c r="C541" s="16" t="s">
        <v>41</v>
      </c>
      <c r="D541" s="16" t="s">
        <v>36</v>
      </c>
      <c r="E541" s="16" t="s">
        <v>51</v>
      </c>
      <c r="F541" s="16" t="n">
        <v>8</v>
      </c>
      <c r="G541" s="17" t="n">
        <v>700</v>
      </c>
      <c r="H541" s="17" t="n">
        <v>480</v>
      </c>
      <c r="I541" s="17" t="n">
        <f aca="false">F541*G541</f>
        <v>5600</v>
      </c>
      <c r="J541" s="17" t="n">
        <f aca="false">F541*(G541-H541)</f>
        <v>1760</v>
      </c>
    </row>
    <row r="542" customFormat="false" ht="15" hidden="false" customHeight="false" outlineLevel="0" collapsed="false">
      <c r="A542" s="15" t="n">
        <v>46382</v>
      </c>
      <c r="B542" s="16" t="n">
        <f aca="false">MONTH(A542)</f>
        <v>12</v>
      </c>
      <c r="C542" s="16" t="s">
        <v>40</v>
      </c>
      <c r="D542" s="16" t="s">
        <v>35</v>
      </c>
      <c r="E542" s="16" t="s">
        <v>52</v>
      </c>
      <c r="F542" s="16" t="n">
        <v>10</v>
      </c>
      <c r="G542" s="17" t="n">
        <v>900</v>
      </c>
      <c r="H542" s="17" t="n">
        <v>650</v>
      </c>
      <c r="I542" s="17" t="n">
        <f aca="false">F542*G542</f>
        <v>9000</v>
      </c>
      <c r="J542" s="17" t="n">
        <f aca="false">F542*(G542-H542)</f>
        <v>2500</v>
      </c>
    </row>
    <row r="543" customFormat="false" ht="15" hidden="false" customHeight="false" outlineLevel="0" collapsed="false">
      <c r="A543" s="15" t="n">
        <v>46343</v>
      </c>
      <c r="B543" s="16" t="n">
        <f aca="false">MONTH(A543)</f>
        <v>11</v>
      </c>
      <c r="C543" s="16" t="s">
        <v>40</v>
      </c>
      <c r="D543" s="16" t="s">
        <v>34</v>
      </c>
      <c r="E543" s="16" t="s">
        <v>51</v>
      </c>
      <c r="F543" s="16" t="n">
        <v>1</v>
      </c>
      <c r="G543" s="17" t="n">
        <v>250</v>
      </c>
      <c r="H543" s="17" t="n">
        <v>140</v>
      </c>
      <c r="I543" s="17" t="n">
        <f aca="false">F543*G543</f>
        <v>250</v>
      </c>
      <c r="J543" s="17" t="n">
        <f aca="false">F543*(G543-H543)</f>
        <v>110</v>
      </c>
    </row>
    <row r="544" customFormat="false" ht="15" hidden="false" customHeight="false" outlineLevel="0" collapsed="false">
      <c r="A544" s="15" t="n">
        <v>46253</v>
      </c>
      <c r="B544" s="16" t="n">
        <f aca="false">MONTH(A544)</f>
        <v>8</v>
      </c>
      <c r="C544" s="16" t="s">
        <v>41</v>
      </c>
      <c r="D544" s="16" t="s">
        <v>31</v>
      </c>
      <c r="E544" s="16" t="s">
        <v>50</v>
      </c>
      <c r="F544" s="16" t="n">
        <v>3</v>
      </c>
      <c r="G544" s="17" t="n">
        <v>4200</v>
      </c>
      <c r="H544" s="17" t="n">
        <v>3300</v>
      </c>
      <c r="I544" s="17" t="n">
        <f aca="false">F544*G544</f>
        <v>12600</v>
      </c>
      <c r="J544" s="17" t="n">
        <f aca="false">F544*(G544-H544)</f>
        <v>2700</v>
      </c>
    </row>
    <row r="545" customFormat="false" ht="15" hidden="false" customHeight="false" outlineLevel="0" collapsed="false">
      <c r="A545" s="15" t="n">
        <v>46129</v>
      </c>
      <c r="B545" s="16" t="n">
        <f aca="false">MONTH(A545)</f>
        <v>4</v>
      </c>
      <c r="C545" s="16" t="s">
        <v>43</v>
      </c>
      <c r="D545" s="16" t="s">
        <v>35</v>
      </c>
      <c r="E545" s="16" t="s">
        <v>52</v>
      </c>
      <c r="F545" s="16" t="n">
        <v>7</v>
      </c>
      <c r="G545" s="17" t="n">
        <v>900</v>
      </c>
      <c r="H545" s="17" t="n">
        <v>650</v>
      </c>
      <c r="I545" s="17" t="n">
        <f aca="false">F545*G545</f>
        <v>6300</v>
      </c>
      <c r="J545" s="17" t="n">
        <f aca="false">F545*(G545-H545)</f>
        <v>1750</v>
      </c>
    </row>
    <row r="546" customFormat="false" ht="15" hidden="false" customHeight="false" outlineLevel="0" collapsed="false">
      <c r="A546" s="15" t="n">
        <v>46198</v>
      </c>
      <c r="B546" s="16" t="n">
        <f aca="false">MONTH(A546)</f>
        <v>6</v>
      </c>
      <c r="C546" s="16" t="s">
        <v>43</v>
      </c>
      <c r="D546" s="16" t="s">
        <v>31</v>
      </c>
      <c r="E546" s="16" t="s">
        <v>50</v>
      </c>
      <c r="F546" s="16" t="n">
        <v>1</v>
      </c>
      <c r="G546" s="17" t="n">
        <v>4200</v>
      </c>
      <c r="H546" s="17" t="n">
        <v>3300</v>
      </c>
      <c r="I546" s="17" t="n">
        <f aca="false">F546*G546</f>
        <v>4200</v>
      </c>
      <c r="J546" s="17" t="n">
        <f aca="false">F546*(G546-H546)</f>
        <v>900</v>
      </c>
    </row>
    <row r="547" customFormat="false" ht="15" hidden="false" customHeight="false" outlineLevel="0" collapsed="false">
      <c r="A547" s="15" t="n">
        <v>46139</v>
      </c>
      <c r="B547" s="16" t="n">
        <f aca="false">MONTH(A547)</f>
        <v>4</v>
      </c>
      <c r="C547" s="16" t="s">
        <v>40</v>
      </c>
      <c r="D547" s="16" t="s">
        <v>36</v>
      </c>
      <c r="E547" s="16" t="s">
        <v>51</v>
      </c>
      <c r="F547" s="16" t="n">
        <v>12</v>
      </c>
      <c r="G547" s="17" t="n">
        <v>700</v>
      </c>
      <c r="H547" s="17" t="n">
        <v>480</v>
      </c>
      <c r="I547" s="17" t="n">
        <f aca="false">F547*G547</f>
        <v>8400</v>
      </c>
      <c r="J547" s="17" t="n">
        <f aca="false">F547*(G547-H547)</f>
        <v>2640</v>
      </c>
    </row>
    <row r="548" customFormat="false" ht="15" hidden="false" customHeight="false" outlineLevel="0" collapsed="false">
      <c r="A548" s="15" t="n">
        <v>46361</v>
      </c>
      <c r="B548" s="16" t="n">
        <f aca="false">MONTH(A548)</f>
        <v>12</v>
      </c>
      <c r="C548" s="16" t="s">
        <v>43</v>
      </c>
      <c r="D548" s="16" t="s">
        <v>32</v>
      </c>
      <c r="E548" s="16" t="s">
        <v>50</v>
      </c>
      <c r="F548" s="16" t="n">
        <v>5</v>
      </c>
      <c r="G548" s="17" t="n">
        <v>3800</v>
      </c>
      <c r="H548" s="17" t="n">
        <v>3000</v>
      </c>
      <c r="I548" s="17" t="n">
        <f aca="false">F548*G548</f>
        <v>19000</v>
      </c>
      <c r="J548" s="17" t="n">
        <f aca="false">F548*(G548-H548)</f>
        <v>4000</v>
      </c>
    </row>
    <row r="549" customFormat="false" ht="15" hidden="false" customHeight="false" outlineLevel="0" collapsed="false">
      <c r="A549" s="15" t="n">
        <v>46325</v>
      </c>
      <c r="B549" s="16" t="n">
        <f aca="false">MONTH(A549)</f>
        <v>10</v>
      </c>
      <c r="C549" s="16" t="s">
        <v>41</v>
      </c>
      <c r="D549" s="16" t="s">
        <v>32</v>
      </c>
      <c r="E549" s="16" t="s">
        <v>50</v>
      </c>
      <c r="F549" s="16" t="n">
        <v>5</v>
      </c>
      <c r="G549" s="17" t="n">
        <v>3800</v>
      </c>
      <c r="H549" s="17" t="n">
        <v>3000</v>
      </c>
      <c r="I549" s="17" t="n">
        <f aca="false">F549*G549</f>
        <v>19000</v>
      </c>
      <c r="J549" s="17" t="n">
        <f aca="false">F549*(G549-H549)</f>
        <v>4000</v>
      </c>
    </row>
    <row r="550" customFormat="false" ht="15" hidden="false" customHeight="false" outlineLevel="0" collapsed="false">
      <c r="A550" s="15" t="n">
        <v>46375</v>
      </c>
      <c r="B550" s="16" t="n">
        <f aca="false">MONTH(A550)</f>
        <v>12</v>
      </c>
      <c r="C550" s="16" t="s">
        <v>41</v>
      </c>
      <c r="D550" s="16" t="s">
        <v>35</v>
      </c>
      <c r="E550" s="16" t="s">
        <v>52</v>
      </c>
      <c r="F550" s="16" t="n">
        <v>10</v>
      </c>
      <c r="G550" s="17" t="n">
        <v>900</v>
      </c>
      <c r="H550" s="17" t="n">
        <v>650</v>
      </c>
      <c r="I550" s="17" t="n">
        <f aca="false">F550*G550</f>
        <v>9000</v>
      </c>
      <c r="J550" s="17" t="n">
        <f aca="false">F550*(G550-H550)</f>
        <v>2500</v>
      </c>
    </row>
    <row r="551" customFormat="false" ht="15" hidden="false" customHeight="false" outlineLevel="0" collapsed="false">
      <c r="A551" s="15" t="n">
        <v>46079</v>
      </c>
      <c r="B551" s="16" t="n">
        <f aca="false">MONTH(A551)</f>
        <v>2</v>
      </c>
      <c r="C551" s="16" t="s">
        <v>40</v>
      </c>
      <c r="D551" s="16" t="s">
        <v>33</v>
      </c>
      <c r="E551" s="16" t="s">
        <v>51</v>
      </c>
      <c r="F551" s="16" t="n">
        <v>10</v>
      </c>
      <c r="G551" s="17" t="n">
        <v>450</v>
      </c>
      <c r="H551" s="17" t="n">
        <v>280</v>
      </c>
      <c r="I551" s="17" t="n">
        <f aca="false">F551*G551</f>
        <v>4500</v>
      </c>
      <c r="J551" s="17" t="n">
        <f aca="false">F551*(G551-H551)</f>
        <v>1700</v>
      </c>
    </row>
    <row r="552" customFormat="false" ht="15" hidden="false" customHeight="false" outlineLevel="0" collapsed="false">
      <c r="A552" s="15" t="n">
        <v>46289</v>
      </c>
      <c r="B552" s="16" t="n">
        <f aca="false">MONTH(A552)</f>
        <v>9</v>
      </c>
      <c r="C552" s="16" t="s">
        <v>42</v>
      </c>
      <c r="D552" s="16" t="s">
        <v>36</v>
      </c>
      <c r="E552" s="16" t="s">
        <v>51</v>
      </c>
      <c r="F552" s="16" t="n">
        <v>3</v>
      </c>
      <c r="G552" s="17" t="n">
        <v>700</v>
      </c>
      <c r="H552" s="17" t="n">
        <v>480</v>
      </c>
      <c r="I552" s="17" t="n">
        <f aca="false">F552*G552</f>
        <v>2100</v>
      </c>
      <c r="J552" s="17" t="n">
        <f aca="false">F552*(G552-H552)</f>
        <v>660</v>
      </c>
    </row>
    <row r="553" customFormat="false" ht="15" hidden="false" customHeight="false" outlineLevel="0" collapsed="false">
      <c r="A553" s="15" t="n">
        <v>46310</v>
      </c>
      <c r="B553" s="16" t="n">
        <f aca="false">MONTH(A553)</f>
        <v>10</v>
      </c>
      <c r="C553" s="16" t="s">
        <v>43</v>
      </c>
      <c r="D553" s="16" t="s">
        <v>33</v>
      </c>
      <c r="E553" s="16" t="s">
        <v>51</v>
      </c>
      <c r="F553" s="16" t="n">
        <v>12</v>
      </c>
      <c r="G553" s="17" t="n">
        <v>450</v>
      </c>
      <c r="H553" s="17" t="n">
        <v>280</v>
      </c>
      <c r="I553" s="17" t="n">
        <f aca="false">F553*G553</f>
        <v>5400</v>
      </c>
      <c r="J553" s="17" t="n">
        <f aca="false">F553*(G553-H553)</f>
        <v>2040</v>
      </c>
    </row>
    <row r="554" customFormat="false" ht="15" hidden="false" customHeight="false" outlineLevel="0" collapsed="false">
      <c r="A554" s="15" t="n">
        <v>46346</v>
      </c>
      <c r="B554" s="16" t="n">
        <f aca="false">MONTH(A554)</f>
        <v>11</v>
      </c>
      <c r="C554" s="16" t="s">
        <v>40</v>
      </c>
      <c r="D554" s="16" t="s">
        <v>30</v>
      </c>
      <c r="E554" s="16" t="s">
        <v>50</v>
      </c>
      <c r="F554" s="16" t="n">
        <v>9</v>
      </c>
      <c r="G554" s="17" t="n">
        <v>18500</v>
      </c>
      <c r="H554" s="17" t="n">
        <v>15000</v>
      </c>
      <c r="I554" s="17" t="n">
        <f aca="false">F554*G554</f>
        <v>166500</v>
      </c>
      <c r="J554" s="17" t="n">
        <f aca="false">F554*(G554-H554)</f>
        <v>31500</v>
      </c>
    </row>
    <row r="555" customFormat="false" ht="15" hidden="false" customHeight="false" outlineLevel="0" collapsed="false">
      <c r="A555" s="15" t="n">
        <v>46127</v>
      </c>
      <c r="B555" s="16" t="n">
        <f aca="false">MONTH(A555)</f>
        <v>4</v>
      </c>
      <c r="C555" s="16" t="s">
        <v>42</v>
      </c>
      <c r="D555" s="16" t="s">
        <v>34</v>
      </c>
      <c r="E555" s="16" t="s">
        <v>51</v>
      </c>
      <c r="F555" s="16" t="n">
        <v>12</v>
      </c>
      <c r="G555" s="17" t="n">
        <v>250</v>
      </c>
      <c r="H555" s="17" t="n">
        <v>140</v>
      </c>
      <c r="I555" s="17" t="n">
        <f aca="false">F555*G555</f>
        <v>3000</v>
      </c>
      <c r="J555" s="17" t="n">
        <f aca="false">F555*(G555-H555)</f>
        <v>1320</v>
      </c>
    </row>
    <row r="556" customFormat="false" ht="15" hidden="false" customHeight="false" outlineLevel="0" collapsed="false">
      <c r="A556" s="15" t="n">
        <v>46103</v>
      </c>
      <c r="B556" s="16" t="n">
        <f aca="false">MONTH(A556)</f>
        <v>3</v>
      </c>
      <c r="C556" s="16" t="s">
        <v>43</v>
      </c>
      <c r="D556" s="16" t="s">
        <v>35</v>
      </c>
      <c r="E556" s="16" t="s">
        <v>52</v>
      </c>
      <c r="F556" s="16" t="n">
        <v>8</v>
      </c>
      <c r="G556" s="17" t="n">
        <v>900</v>
      </c>
      <c r="H556" s="17" t="n">
        <v>650</v>
      </c>
      <c r="I556" s="17" t="n">
        <f aca="false">F556*G556</f>
        <v>7200</v>
      </c>
      <c r="J556" s="17" t="n">
        <f aca="false">F556*(G556-H556)</f>
        <v>2000</v>
      </c>
    </row>
    <row r="557" customFormat="false" ht="15" hidden="false" customHeight="false" outlineLevel="0" collapsed="false">
      <c r="A557" s="15" t="n">
        <v>46318</v>
      </c>
      <c r="B557" s="16" t="n">
        <f aca="false">MONTH(A557)</f>
        <v>10</v>
      </c>
      <c r="C557" s="16" t="s">
        <v>42</v>
      </c>
      <c r="D557" s="16" t="s">
        <v>36</v>
      </c>
      <c r="E557" s="16" t="s">
        <v>51</v>
      </c>
      <c r="F557" s="16" t="n">
        <v>2</v>
      </c>
      <c r="G557" s="17" t="n">
        <v>700</v>
      </c>
      <c r="H557" s="17" t="n">
        <v>480</v>
      </c>
      <c r="I557" s="17" t="n">
        <f aca="false">F557*G557</f>
        <v>1400</v>
      </c>
      <c r="J557" s="17" t="n">
        <f aca="false">F557*(G557-H557)</f>
        <v>440</v>
      </c>
    </row>
    <row r="558" customFormat="false" ht="15" hidden="false" customHeight="false" outlineLevel="0" collapsed="false">
      <c r="A558" s="15" t="n">
        <v>46292</v>
      </c>
      <c r="B558" s="16" t="n">
        <f aca="false">MONTH(A558)</f>
        <v>9</v>
      </c>
      <c r="C558" s="16" t="s">
        <v>42</v>
      </c>
      <c r="D558" s="16" t="s">
        <v>36</v>
      </c>
      <c r="E558" s="16" t="s">
        <v>51</v>
      </c>
      <c r="F558" s="16" t="n">
        <v>4</v>
      </c>
      <c r="G558" s="17" t="n">
        <v>700</v>
      </c>
      <c r="H558" s="17" t="n">
        <v>480</v>
      </c>
      <c r="I558" s="17" t="n">
        <f aca="false">F558*G558</f>
        <v>2800</v>
      </c>
      <c r="J558" s="17" t="n">
        <f aca="false">F558*(G558-H558)</f>
        <v>880</v>
      </c>
    </row>
    <row r="559" customFormat="false" ht="15" hidden="false" customHeight="false" outlineLevel="0" collapsed="false">
      <c r="A559" s="15" t="n">
        <v>46378</v>
      </c>
      <c r="B559" s="16" t="n">
        <f aca="false">MONTH(A559)</f>
        <v>12</v>
      </c>
      <c r="C559" s="16" t="s">
        <v>40</v>
      </c>
      <c r="D559" s="16" t="s">
        <v>33</v>
      </c>
      <c r="E559" s="16" t="s">
        <v>51</v>
      </c>
      <c r="F559" s="16" t="n">
        <v>4</v>
      </c>
      <c r="G559" s="17" t="n">
        <v>450</v>
      </c>
      <c r="H559" s="17" t="n">
        <v>280</v>
      </c>
      <c r="I559" s="17" t="n">
        <f aca="false">F559*G559</f>
        <v>1800</v>
      </c>
      <c r="J559" s="17" t="n">
        <f aca="false">F559*(G559-H559)</f>
        <v>680</v>
      </c>
    </row>
    <row r="560" customFormat="false" ht="15" hidden="false" customHeight="false" outlineLevel="0" collapsed="false">
      <c r="A560" s="15" t="n">
        <v>46338</v>
      </c>
      <c r="B560" s="16" t="n">
        <f aca="false">MONTH(A560)</f>
        <v>11</v>
      </c>
      <c r="C560" s="16" t="s">
        <v>42</v>
      </c>
      <c r="D560" s="16" t="s">
        <v>35</v>
      </c>
      <c r="E560" s="16" t="s">
        <v>52</v>
      </c>
      <c r="F560" s="16" t="n">
        <v>5</v>
      </c>
      <c r="G560" s="17" t="n">
        <v>900</v>
      </c>
      <c r="H560" s="17" t="n">
        <v>650</v>
      </c>
      <c r="I560" s="17" t="n">
        <f aca="false">F560*G560</f>
        <v>4500</v>
      </c>
      <c r="J560" s="17" t="n">
        <f aca="false">F560*(G560-H560)</f>
        <v>1250</v>
      </c>
    </row>
    <row r="561" customFormat="false" ht="15" hidden="false" customHeight="false" outlineLevel="0" collapsed="false">
      <c r="A561" s="15" t="n">
        <v>46024</v>
      </c>
      <c r="B561" s="16" t="n">
        <f aca="false">MONTH(A561)</f>
        <v>1</v>
      </c>
      <c r="C561" s="16" t="s">
        <v>43</v>
      </c>
      <c r="D561" s="16" t="s">
        <v>36</v>
      </c>
      <c r="E561" s="16" t="s">
        <v>51</v>
      </c>
      <c r="F561" s="16" t="n">
        <v>8</v>
      </c>
      <c r="G561" s="17" t="n">
        <v>700</v>
      </c>
      <c r="H561" s="17" t="n">
        <v>480</v>
      </c>
      <c r="I561" s="17" t="n">
        <f aca="false">F561*G561</f>
        <v>5600</v>
      </c>
      <c r="J561" s="17" t="n">
        <f aca="false">F561*(G561-H561)</f>
        <v>1760</v>
      </c>
    </row>
    <row r="562" customFormat="false" ht="15" hidden="false" customHeight="false" outlineLevel="0" collapsed="false">
      <c r="A562" s="15" t="n">
        <v>46316</v>
      </c>
      <c r="B562" s="16" t="n">
        <f aca="false">MONTH(A562)</f>
        <v>10</v>
      </c>
      <c r="C562" s="16" t="s">
        <v>41</v>
      </c>
      <c r="D562" s="16" t="s">
        <v>30</v>
      </c>
      <c r="E562" s="16" t="s">
        <v>50</v>
      </c>
      <c r="F562" s="16" t="n">
        <v>1</v>
      </c>
      <c r="G562" s="17" t="n">
        <v>18500</v>
      </c>
      <c r="H562" s="17" t="n">
        <v>15000</v>
      </c>
      <c r="I562" s="17" t="n">
        <f aca="false">F562*G562</f>
        <v>18500</v>
      </c>
      <c r="J562" s="17" t="n">
        <f aca="false">F562*(G562-H562)</f>
        <v>3500</v>
      </c>
    </row>
    <row r="563" customFormat="false" ht="15" hidden="false" customHeight="false" outlineLevel="0" collapsed="false">
      <c r="A563" s="15" t="n">
        <v>46379</v>
      </c>
      <c r="B563" s="16" t="n">
        <f aca="false">MONTH(A563)</f>
        <v>12</v>
      </c>
      <c r="C563" s="16" t="s">
        <v>43</v>
      </c>
      <c r="D563" s="16" t="s">
        <v>30</v>
      </c>
      <c r="E563" s="16" t="s">
        <v>50</v>
      </c>
      <c r="F563" s="16" t="n">
        <v>10</v>
      </c>
      <c r="G563" s="17" t="n">
        <v>18500</v>
      </c>
      <c r="H563" s="17" t="n">
        <v>15000</v>
      </c>
      <c r="I563" s="17" t="n">
        <f aca="false">F563*G563</f>
        <v>185000</v>
      </c>
      <c r="J563" s="17" t="n">
        <f aca="false">F563*(G563-H563)</f>
        <v>35000</v>
      </c>
    </row>
    <row r="564" customFormat="false" ht="15" hidden="false" customHeight="false" outlineLevel="0" collapsed="false">
      <c r="A564" s="15" t="n">
        <v>46036</v>
      </c>
      <c r="B564" s="16" t="n">
        <f aca="false">MONTH(A564)</f>
        <v>1</v>
      </c>
      <c r="C564" s="16" t="s">
        <v>43</v>
      </c>
      <c r="D564" s="16" t="s">
        <v>34</v>
      </c>
      <c r="E564" s="16" t="s">
        <v>51</v>
      </c>
      <c r="F564" s="16" t="n">
        <v>3</v>
      </c>
      <c r="G564" s="17" t="n">
        <v>250</v>
      </c>
      <c r="H564" s="17" t="n">
        <v>140</v>
      </c>
      <c r="I564" s="17" t="n">
        <f aca="false">F564*G564</f>
        <v>750</v>
      </c>
      <c r="J564" s="17" t="n">
        <f aca="false">F564*(G564-H564)</f>
        <v>330</v>
      </c>
    </row>
    <row r="565" customFormat="false" ht="15" hidden="false" customHeight="false" outlineLevel="0" collapsed="false">
      <c r="A565" s="15" t="n">
        <v>46227</v>
      </c>
      <c r="B565" s="16" t="n">
        <f aca="false">MONTH(A565)</f>
        <v>7</v>
      </c>
      <c r="C565" s="16" t="s">
        <v>42</v>
      </c>
      <c r="D565" s="16" t="s">
        <v>32</v>
      </c>
      <c r="E565" s="16" t="s">
        <v>50</v>
      </c>
      <c r="F565" s="16" t="n">
        <v>1</v>
      </c>
      <c r="G565" s="17" t="n">
        <v>3800</v>
      </c>
      <c r="H565" s="17" t="n">
        <v>3000</v>
      </c>
      <c r="I565" s="17" t="n">
        <f aca="false">F565*G565</f>
        <v>3800</v>
      </c>
      <c r="J565" s="17" t="n">
        <f aca="false">F565*(G565-H565)</f>
        <v>800</v>
      </c>
    </row>
    <row r="566" customFormat="false" ht="15" hidden="false" customHeight="false" outlineLevel="0" collapsed="false">
      <c r="A566" s="15" t="n">
        <v>46186</v>
      </c>
      <c r="B566" s="16" t="n">
        <f aca="false">MONTH(A566)</f>
        <v>6</v>
      </c>
      <c r="C566" s="16" t="s">
        <v>41</v>
      </c>
      <c r="D566" s="16" t="s">
        <v>35</v>
      </c>
      <c r="E566" s="16" t="s">
        <v>52</v>
      </c>
      <c r="F566" s="16" t="n">
        <v>3</v>
      </c>
      <c r="G566" s="17" t="n">
        <v>900</v>
      </c>
      <c r="H566" s="17" t="n">
        <v>650</v>
      </c>
      <c r="I566" s="17" t="n">
        <f aca="false">F566*G566</f>
        <v>2700</v>
      </c>
      <c r="J566" s="17" t="n">
        <f aca="false">F566*(G566-H566)</f>
        <v>750</v>
      </c>
    </row>
    <row r="567" customFormat="false" ht="15" hidden="false" customHeight="false" outlineLevel="0" collapsed="false">
      <c r="A567" s="15" t="n">
        <v>46066</v>
      </c>
      <c r="B567" s="16" t="n">
        <f aca="false">MONTH(A567)</f>
        <v>2</v>
      </c>
      <c r="C567" s="16" t="s">
        <v>43</v>
      </c>
      <c r="D567" s="16" t="s">
        <v>31</v>
      </c>
      <c r="E567" s="16" t="s">
        <v>50</v>
      </c>
      <c r="F567" s="16" t="n">
        <v>12</v>
      </c>
      <c r="G567" s="17" t="n">
        <v>4200</v>
      </c>
      <c r="H567" s="17" t="n">
        <v>3300</v>
      </c>
      <c r="I567" s="17" t="n">
        <f aca="false">F567*G567</f>
        <v>50400</v>
      </c>
      <c r="J567" s="17" t="n">
        <f aca="false">F567*(G567-H567)</f>
        <v>10800</v>
      </c>
    </row>
    <row r="568" customFormat="false" ht="15" hidden="false" customHeight="false" outlineLevel="0" collapsed="false">
      <c r="A568" s="15" t="n">
        <v>46290</v>
      </c>
      <c r="B568" s="16" t="n">
        <f aca="false">MONTH(A568)</f>
        <v>9</v>
      </c>
      <c r="C568" s="16" t="s">
        <v>43</v>
      </c>
      <c r="D568" s="16" t="s">
        <v>36</v>
      </c>
      <c r="E568" s="16" t="s">
        <v>51</v>
      </c>
      <c r="F568" s="16" t="n">
        <v>12</v>
      </c>
      <c r="G568" s="17" t="n">
        <v>700</v>
      </c>
      <c r="H568" s="17" t="n">
        <v>480</v>
      </c>
      <c r="I568" s="17" t="n">
        <f aca="false">F568*G568</f>
        <v>8400</v>
      </c>
      <c r="J568" s="17" t="n">
        <f aca="false">F568*(G568-H568)</f>
        <v>2640</v>
      </c>
    </row>
    <row r="569" customFormat="false" ht="15" hidden="false" customHeight="false" outlineLevel="0" collapsed="false">
      <c r="A569" s="15" t="n">
        <v>46227</v>
      </c>
      <c r="B569" s="16" t="n">
        <f aca="false">MONTH(A569)</f>
        <v>7</v>
      </c>
      <c r="C569" s="16" t="s">
        <v>42</v>
      </c>
      <c r="D569" s="16" t="s">
        <v>36</v>
      </c>
      <c r="E569" s="16" t="s">
        <v>51</v>
      </c>
      <c r="F569" s="16" t="n">
        <v>1</v>
      </c>
      <c r="G569" s="17" t="n">
        <v>700</v>
      </c>
      <c r="H569" s="17" t="n">
        <v>480</v>
      </c>
      <c r="I569" s="17" t="n">
        <f aca="false">F569*G569</f>
        <v>700</v>
      </c>
      <c r="J569" s="17" t="n">
        <f aca="false">F569*(G569-H569)</f>
        <v>220</v>
      </c>
    </row>
    <row r="570" customFormat="false" ht="15" hidden="false" customHeight="false" outlineLevel="0" collapsed="false">
      <c r="A570" s="15" t="n">
        <v>46109</v>
      </c>
      <c r="B570" s="16" t="n">
        <f aca="false">MONTH(A570)</f>
        <v>3</v>
      </c>
      <c r="C570" s="16" t="s">
        <v>40</v>
      </c>
      <c r="D570" s="16" t="s">
        <v>30</v>
      </c>
      <c r="E570" s="16" t="s">
        <v>50</v>
      </c>
      <c r="F570" s="16" t="n">
        <v>5</v>
      </c>
      <c r="G570" s="17" t="n">
        <v>18500</v>
      </c>
      <c r="H570" s="17" t="n">
        <v>15000</v>
      </c>
      <c r="I570" s="17" t="n">
        <f aca="false">F570*G570</f>
        <v>92500</v>
      </c>
      <c r="J570" s="17" t="n">
        <f aca="false">F570*(G570-H570)</f>
        <v>17500</v>
      </c>
    </row>
    <row r="571" customFormat="false" ht="15" hidden="false" customHeight="false" outlineLevel="0" collapsed="false">
      <c r="A571" s="15" t="n">
        <v>46195</v>
      </c>
      <c r="B571" s="16" t="n">
        <f aca="false">MONTH(A571)</f>
        <v>6</v>
      </c>
      <c r="C571" s="16" t="s">
        <v>41</v>
      </c>
      <c r="D571" s="16" t="s">
        <v>31</v>
      </c>
      <c r="E571" s="16" t="s">
        <v>50</v>
      </c>
      <c r="F571" s="16" t="n">
        <v>10</v>
      </c>
      <c r="G571" s="17" t="n">
        <v>4200</v>
      </c>
      <c r="H571" s="17" t="n">
        <v>3300</v>
      </c>
      <c r="I571" s="17" t="n">
        <f aca="false">F571*G571</f>
        <v>42000</v>
      </c>
      <c r="J571" s="17" t="n">
        <f aca="false">F571*(G571-H571)</f>
        <v>9000</v>
      </c>
    </row>
    <row r="572" customFormat="false" ht="15" hidden="false" customHeight="false" outlineLevel="0" collapsed="false">
      <c r="A572" s="15" t="n">
        <v>46277</v>
      </c>
      <c r="B572" s="16" t="n">
        <f aca="false">MONTH(A572)</f>
        <v>9</v>
      </c>
      <c r="C572" s="16" t="s">
        <v>42</v>
      </c>
      <c r="D572" s="16" t="s">
        <v>32</v>
      </c>
      <c r="E572" s="16" t="s">
        <v>50</v>
      </c>
      <c r="F572" s="16" t="n">
        <v>6</v>
      </c>
      <c r="G572" s="17" t="n">
        <v>3800</v>
      </c>
      <c r="H572" s="17" t="n">
        <v>3000</v>
      </c>
      <c r="I572" s="17" t="n">
        <f aca="false">F572*G572</f>
        <v>22800</v>
      </c>
      <c r="J572" s="17" t="n">
        <f aca="false">F572*(G572-H572)</f>
        <v>4800</v>
      </c>
    </row>
    <row r="573" customFormat="false" ht="15" hidden="false" customHeight="false" outlineLevel="0" collapsed="false">
      <c r="A573" s="15" t="n">
        <v>46215</v>
      </c>
      <c r="B573" s="16" t="n">
        <f aca="false">MONTH(A573)</f>
        <v>7</v>
      </c>
      <c r="C573" s="16" t="s">
        <v>41</v>
      </c>
      <c r="D573" s="16" t="s">
        <v>31</v>
      </c>
      <c r="E573" s="16" t="s">
        <v>50</v>
      </c>
      <c r="F573" s="16" t="n">
        <v>12</v>
      </c>
      <c r="G573" s="17" t="n">
        <v>4200</v>
      </c>
      <c r="H573" s="17" t="n">
        <v>3300</v>
      </c>
      <c r="I573" s="17" t="n">
        <f aca="false">F573*G573</f>
        <v>50400</v>
      </c>
      <c r="J573" s="17" t="n">
        <f aca="false">F573*(G573-H573)</f>
        <v>10800</v>
      </c>
    </row>
    <row r="574" customFormat="false" ht="15" hidden="false" customHeight="false" outlineLevel="0" collapsed="false">
      <c r="A574" s="15" t="n">
        <v>46067</v>
      </c>
      <c r="B574" s="16" t="n">
        <f aca="false">MONTH(A574)</f>
        <v>2</v>
      </c>
      <c r="C574" s="16" t="s">
        <v>43</v>
      </c>
      <c r="D574" s="16" t="s">
        <v>32</v>
      </c>
      <c r="E574" s="16" t="s">
        <v>50</v>
      </c>
      <c r="F574" s="16" t="n">
        <v>9</v>
      </c>
      <c r="G574" s="17" t="n">
        <v>3800</v>
      </c>
      <c r="H574" s="17" t="n">
        <v>3000</v>
      </c>
      <c r="I574" s="17" t="n">
        <f aca="false">F574*G574</f>
        <v>34200</v>
      </c>
      <c r="J574" s="17" t="n">
        <f aca="false">F574*(G574-H574)</f>
        <v>7200</v>
      </c>
    </row>
    <row r="575" customFormat="false" ht="15" hidden="false" customHeight="false" outlineLevel="0" collapsed="false">
      <c r="A575" s="15" t="n">
        <v>46109</v>
      </c>
      <c r="B575" s="16" t="n">
        <f aca="false">MONTH(A575)</f>
        <v>3</v>
      </c>
      <c r="C575" s="16" t="s">
        <v>41</v>
      </c>
      <c r="D575" s="16" t="s">
        <v>35</v>
      </c>
      <c r="E575" s="16" t="s">
        <v>52</v>
      </c>
      <c r="F575" s="16" t="n">
        <v>6</v>
      </c>
      <c r="G575" s="17" t="n">
        <v>900</v>
      </c>
      <c r="H575" s="17" t="n">
        <v>650</v>
      </c>
      <c r="I575" s="17" t="n">
        <f aca="false">F575*G575</f>
        <v>5400</v>
      </c>
      <c r="J575" s="17" t="n">
        <f aca="false">F575*(G575-H575)</f>
        <v>1500</v>
      </c>
    </row>
    <row r="576" customFormat="false" ht="15" hidden="false" customHeight="false" outlineLevel="0" collapsed="false">
      <c r="A576" s="15" t="n">
        <v>46120</v>
      </c>
      <c r="B576" s="16" t="n">
        <f aca="false">MONTH(A576)</f>
        <v>4</v>
      </c>
      <c r="C576" s="16" t="s">
        <v>42</v>
      </c>
      <c r="D576" s="16" t="s">
        <v>34</v>
      </c>
      <c r="E576" s="16" t="s">
        <v>51</v>
      </c>
      <c r="F576" s="16" t="n">
        <v>10</v>
      </c>
      <c r="G576" s="17" t="n">
        <v>250</v>
      </c>
      <c r="H576" s="17" t="n">
        <v>140</v>
      </c>
      <c r="I576" s="17" t="n">
        <f aca="false">F576*G576</f>
        <v>2500</v>
      </c>
      <c r="J576" s="17" t="n">
        <f aca="false">F576*(G576-H576)</f>
        <v>1100</v>
      </c>
    </row>
    <row r="577" customFormat="false" ht="15" hidden="false" customHeight="false" outlineLevel="0" collapsed="false">
      <c r="A577" s="15" t="n">
        <v>46251</v>
      </c>
      <c r="B577" s="16" t="n">
        <f aca="false">MONTH(A577)</f>
        <v>8</v>
      </c>
      <c r="C577" s="16" t="s">
        <v>42</v>
      </c>
      <c r="D577" s="16" t="s">
        <v>30</v>
      </c>
      <c r="E577" s="16" t="s">
        <v>50</v>
      </c>
      <c r="F577" s="16" t="n">
        <v>5</v>
      </c>
      <c r="G577" s="17" t="n">
        <v>18500</v>
      </c>
      <c r="H577" s="17" t="n">
        <v>15000</v>
      </c>
      <c r="I577" s="17" t="n">
        <f aca="false">F577*G577</f>
        <v>92500</v>
      </c>
      <c r="J577" s="17" t="n">
        <f aca="false">F577*(G577-H577)</f>
        <v>17500</v>
      </c>
    </row>
    <row r="578" customFormat="false" ht="15" hidden="false" customHeight="false" outlineLevel="0" collapsed="false">
      <c r="A578" s="15" t="n">
        <v>46386</v>
      </c>
      <c r="B578" s="16" t="n">
        <f aca="false">MONTH(A578)</f>
        <v>12</v>
      </c>
      <c r="C578" s="16" t="s">
        <v>40</v>
      </c>
      <c r="D578" s="16" t="s">
        <v>35</v>
      </c>
      <c r="E578" s="16" t="s">
        <v>52</v>
      </c>
      <c r="F578" s="16" t="n">
        <v>6</v>
      </c>
      <c r="G578" s="17" t="n">
        <v>900</v>
      </c>
      <c r="H578" s="17" t="n">
        <v>650</v>
      </c>
      <c r="I578" s="17" t="n">
        <f aca="false">F578*G578</f>
        <v>5400</v>
      </c>
      <c r="J578" s="17" t="n">
        <f aca="false">F578*(G578-H578)</f>
        <v>1500</v>
      </c>
    </row>
    <row r="579" customFormat="false" ht="15" hidden="false" customHeight="false" outlineLevel="0" collapsed="false">
      <c r="A579" s="15" t="n">
        <v>46231</v>
      </c>
      <c r="B579" s="16" t="n">
        <f aca="false">MONTH(A579)</f>
        <v>7</v>
      </c>
      <c r="C579" s="16" t="s">
        <v>43</v>
      </c>
      <c r="D579" s="16" t="s">
        <v>32</v>
      </c>
      <c r="E579" s="16" t="s">
        <v>50</v>
      </c>
      <c r="F579" s="16" t="n">
        <v>10</v>
      </c>
      <c r="G579" s="17" t="n">
        <v>3800</v>
      </c>
      <c r="H579" s="17" t="n">
        <v>3000</v>
      </c>
      <c r="I579" s="17" t="n">
        <f aca="false">F579*G579</f>
        <v>38000</v>
      </c>
      <c r="J579" s="17" t="n">
        <f aca="false">F579*(G579-H579)</f>
        <v>8000</v>
      </c>
    </row>
    <row r="580" customFormat="false" ht="15" hidden="false" customHeight="false" outlineLevel="0" collapsed="false">
      <c r="A580" s="15" t="n">
        <v>46161</v>
      </c>
      <c r="B580" s="16" t="n">
        <f aca="false">MONTH(A580)</f>
        <v>5</v>
      </c>
      <c r="C580" s="16" t="s">
        <v>41</v>
      </c>
      <c r="D580" s="16" t="s">
        <v>33</v>
      </c>
      <c r="E580" s="16" t="s">
        <v>51</v>
      </c>
      <c r="F580" s="16" t="n">
        <v>5</v>
      </c>
      <c r="G580" s="17" t="n">
        <v>450</v>
      </c>
      <c r="H580" s="17" t="n">
        <v>280</v>
      </c>
      <c r="I580" s="17" t="n">
        <f aca="false">F580*G580</f>
        <v>2250</v>
      </c>
      <c r="J580" s="17" t="n">
        <f aca="false">F580*(G580-H580)</f>
        <v>850</v>
      </c>
    </row>
    <row r="581" customFormat="false" ht="15" hidden="false" customHeight="false" outlineLevel="0" collapsed="false">
      <c r="A581" s="15" t="n">
        <v>46170</v>
      </c>
      <c r="B581" s="16" t="n">
        <f aca="false">MONTH(A581)</f>
        <v>5</v>
      </c>
      <c r="C581" s="16" t="s">
        <v>43</v>
      </c>
      <c r="D581" s="16" t="s">
        <v>34</v>
      </c>
      <c r="E581" s="16" t="s">
        <v>51</v>
      </c>
      <c r="F581" s="16" t="n">
        <v>2</v>
      </c>
      <c r="G581" s="17" t="n">
        <v>250</v>
      </c>
      <c r="H581" s="17" t="n">
        <v>140</v>
      </c>
      <c r="I581" s="17" t="n">
        <f aca="false">F581*G581</f>
        <v>500</v>
      </c>
      <c r="J581" s="17" t="n">
        <f aca="false">F581*(G581-H581)</f>
        <v>220</v>
      </c>
    </row>
    <row r="582" customFormat="false" ht="15" hidden="false" customHeight="false" outlineLevel="0" collapsed="false">
      <c r="A582" s="15" t="n">
        <v>46116</v>
      </c>
      <c r="B582" s="16" t="n">
        <f aca="false">MONTH(A582)</f>
        <v>4</v>
      </c>
      <c r="C582" s="16" t="s">
        <v>41</v>
      </c>
      <c r="D582" s="16" t="s">
        <v>36</v>
      </c>
      <c r="E582" s="16" t="s">
        <v>51</v>
      </c>
      <c r="F582" s="16" t="n">
        <v>4</v>
      </c>
      <c r="G582" s="17" t="n">
        <v>700</v>
      </c>
      <c r="H582" s="17" t="n">
        <v>480</v>
      </c>
      <c r="I582" s="17" t="n">
        <f aca="false">F582*G582</f>
        <v>2800</v>
      </c>
      <c r="J582" s="17" t="n">
        <f aca="false">F582*(G582-H582)</f>
        <v>880</v>
      </c>
    </row>
    <row r="583" customFormat="false" ht="15" hidden="false" customHeight="false" outlineLevel="0" collapsed="false">
      <c r="A583" s="15" t="n">
        <v>46117</v>
      </c>
      <c r="B583" s="16" t="n">
        <f aca="false">MONTH(A583)</f>
        <v>4</v>
      </c>
      <c r="C583" s="16" t="s">
        <v>40</v>
      </c>
      <c r="D583" s="16" t="s">
        <v>32</v>
      </c>
      <c r="E583" s="16" t="s">
        <v>50</v>
      </c>
      <c r="F583" s="16" t="n">
        <v>2</v>
      </c>
      <c r="G583" s="17" t="n">
        <v>3800</v>
      </c>
      <c r="H583" s="17" t="n">
        <v>3000</v>
      </c>
      <c r="I583" s="17" t="n">
        <f aca="false">F583*G583</f>
        <v>7600</v>
      </c>
      <c r="J583" s="17" t="n">
        <f aca="false">F583*(G583-H583)</f>
        <v>1600</v>
      </c>
    </row>
    <row r="584" customFormat="false" ht="15" hidden="false" customHeight="false" outlineLevel="0" collapsed="false">
      <c r="A584" s="15" t="n">
        <v>46384</v>
      </c>
      <c r="B584" s="16" t="n">
        <f aca="false">MONTH(A584)</f>
        <v>12</v>
      </c>
      <c r="C584" s="16" t="s">
        <v>42</v>
      </c>
      <c r="D584" s="16" t="s">
        <v>33</v>
      </c>
      <c r="E584" s="16" t="s">
        <v>51</v>
      </c>
      <c r="F584" s="16" t="n">
        <v>10</v>
      </c>
      <c r="G584" s="17" t="n">
        <v>450</v>
      </c>
      <c r="H584" s="17" t="n">
        <v>280</v>
      </c>
      <c r="I584" s="17" t="n">
        <f aca="false">F584*G584</f>
        <v>4500</v>
      </c>
      <c r="J584" s="17" t="n">
        <f aca="false">F584*(G584-H584)</f>
        <v>1700</v>
      </c>
    </row>
    <row r="585" customFormat="false" ht="15" hidden="false" customHeight="false" outlineLevel="0" collapsed="false">
      <c r="A585" s="15" t="n">
        <v>46349</v>
      </c>
      <c r="B585" s="16" t="n">
        <f aca="false">MONTH(A585)</f>
        <v>11</v>
      </c>
      <c r="C585" s="16" t="s">
        <v>40</v>
      </c>
      <c r="D585" s="16" t="s">
        <v>31</v>
      </c>
      <c r="E585" s="16" t="s">
        <v>50</v>
      </c>
      <c r="F585" s="16" t="n">
        <v>8</v>
      </c>
      <c r="G585" s="17" t="n">
        <v>4200</v>
      </c>
      <c r="H585" s="17" t="n">
        <v>3300</v>
      </c>
      <c r="I585" s="17" t="n">
        <f aca="false">F585*G585</f>
        <v>33600</v>
      </c>
      <c r="J585" s="17" t="n">
        <f aca="false">F585*(G585-H585)</f>
        <v>7200</v>
      </c>
    </row>
    <row r="586" customFormat="false" ht="15" hidden="false" customHeight="false" outlineLevel="0" collapsed="false">
      <c r="A586" s="15" t="n">
        <v>46122</v>
      </c>
      <c r="B586" s="16" t="n">
        <f aca="false">MONTH(A586)</f>
        <v>4</v>
      </c>
      <c r="C586" s="16" t="s">
        <v>42</v>
      </c>
      <c r="D586" s="16" t="s">
        <v>34</v>
      </c>
      <c r="E586" s="16" t="s">
        <v>51</v>
      </c>
      <c r="F586" s="16" t="n">
        <v>4</v>
      </c>
      <c r="G586" s="17" t="n">
        <v>250</v>
      </c>
      <c r="H586" s="17" t="n">
        <v>140</v>
      </c>
      <c r="I586" s="17" t="n">
        <f aca="false">F586*G586</f>
        <v>1000</v>
      </c>
      <c r="J586" s="17" t="n">
        <f aca="false">F586*(G586-H586)</f>
        <v>440</v>
      </c>
    </row>
    <row r="587" customFormat="false" ht="15" hidden="false" customHeight="false" outlineLevel="0" collapsed="false">
      <c r="A587" s="15" t="n">
        <v>46282</v>
      </c>
      <c r="B587" s="16" t="n">
        <f aca="false">MONTH(A587)</f>
        <v>9</v>
      </c>
      <c r="C587" s="16" t="s">
        <v>41</v>
      </c>
      <c r="D587" s="16" t="s">
        <v>36</v>
      </c>
      <c r="E587" s="16" t="s">
        <v>51</v>
      </c>
      <c r="F587" s="16" t="n">
        <v>2</v>
      </c>
      <c r="G587" s="17" t="n">
        <v>700</v>
      </c>
      <c r="H587" s="17" t="n">
        <v>480</v>
      </c>
      <c r="I587" s="17" t="n">
        <f aca="false">F587*G587</f>
        <v>1400</v>
      </c>
      <c r="J587" s="17" t="n">
        <f aca="false">F587*(G587-H587)</f>
        <v>440</v>
      </c>
    </row>
    <row r="588" customFormat="false" ht="15" hidden="false" customHeight="false" outlineLevel="0" collapsed="false">
      <c r="A588" s="15" t="n">
        <v>46282</v>
      </c>
      <c r="B588" s="16" t="n">
        <f aca="false">MONTH(A588)</f>
        <v>9</v>
      </c>
      <c r="C588" s="16" t="s">
        <v>42</v>
      </c>
      <c r="D588" s="16" t="s">
        <v>30</v>
      </c>
      <c r="E588" s="16" t="s">
        <v>50</v>
      </c>
      <c r="F588" s="16" t="n">
        <v>3</v>
      </c>
      <c r="G588" s="17" t="n">
        <v>18500</v>
      </c>
      <c r="H588" s="17" t="n">
        <v>15000</v>
      </c>
      <c r="I588" s="17" t="n">
        <f aca="false">F588*G588</f>
        <v>55500</v>
      </c>
      <c r="J588" s="17" t="n">
        <f aca="false">F588*(G588-H588)</f>
        <v>10500</v>
      </c>
    </row>
    <row r="589" customFormat="false" ht="15" hidden="false" customHeight="false" outlineLevel="0" collapsed="false">
      <c r="A589" s="15" t="n">
        <v>46179</v>
      </c>
      <c r="B589" s="16" t="n">
        <f aca="false">MONTH(A589)</f>
        <v>6</v>
      </c>
      <c r="C589" s="16" t="s">
        <v>43</v>
      </c>
      <c r="D589" s="16" t="s">
        <v>35</v>
      </c>
      <c r="E589" s="16" t="s">
        <v>52</v>
      </c>
      <c r="F589" s="16" t="n">
        <v>7</v>
      </c>
      <c r="G589" s="17" t="n">
        <v>900</v>
      </c>
      <c r="H589" s="17" t="n">
        <v>650</v>
      </c>
      <c r="I589" s="17" t="n">
        <f aca="false">F589*G589</f>
        <v>6300</v>
      </c>
      <c r="J589" s="17" t="n">
        <f aca="false">F589*(G589-H589)</f>
        <v>1750</v>
      </c>
    </row>
    <row r="590" customFormat="false" ht="15" hidden="false" customHeight="false" outlineLevel="0" collapsed="false">
      <c r="A590" s="15" t="n">
        <v>46087</v>
      </c>
      <c r="B590" s="16" t="n">
        <f aca="false">MONTH(A590)</f>
        <v>3</v>
      </c>
      <c r="C590" s="16" t="s">
        <v>41</v>
      </c>
      <c r="D590" s="16" t="s">
        <v>36</v>
      </c>
      <c r="E590" s="16" t="s">
        <v>51</v>
      </c>
      <c r="F590" s="16" t="n">
        <v>3</v>
      </c>
      <c r="G590" s="17" t="n">
        <v>700</v>
      </c>
      <c r="H590" s="17" t="n">
        <v>480</v>
      </c>
      <c r="I590" s="17" t="n">
        <f aca="false">F590*G590</f>
        <v>2100</v>
      </c>
      <c r="J590" s="17" t="n">
        <f aca="false">F590*(G590-H590)</f>
        <v>660</v>
      </c>
    </row>
    <row r="591" customFormat="false" ht="15" hidden="false" customHeight="false" outlineLevel="0" collapsed="false">
      <c r="A591" s="15" t="n">
        <v>46330</v>
      </c>
      <c r="B591" s="16" t="n">
        <f aca="false">MONTH(A591)</f>
        <v>11</v>
      </c>
      <c r="C591" s="16" t="s">
        <v>40</v>
      </c>
      <c r="D591" s="16" t="s">
        <v>35</v>
      </c>
      <c r="E591" s="16" t="s">
        <v>52</v>
      </c>
      <c r="F591" s="16" t="n">
        <v>8</v>
      </c>
      <c r="G591" s="17" t="n">
        <v>900</v>
      </c>
      <c r="H591" s="17" t="n">
        <v>650</v>
      </c>
      <c r="I591" s="17" t="n">
        <f aca="false">F591*G591</f>
        <v>7200</v>
      </c>
      <c r="J591" s="17" t="n">
        <f aca="false">F591*(G591-H591)</f>
        <v>2000</v>
      </c>
    </row>
    <row r="592" customFormat="false" ht="15" hidden="false" customHeight="false" outlineLevel="0" collapsed="false">
      <c r="A592" s="15" t="n">
        <v>46300</v>
      </c>
      <c r="B592" s="16" t="n">
        <f aca="false">MONTH(A592)</f>
        <v>10</v>
      </c>
      <c r="C592" s="16" t="s">
        <v>41</v>
      </c>
      <c r="D592" s="16" t="s">
        <v>31</v>
      </c>
      <c r="E592" s="16" t="s">
        <v>50</v>
      </c>
      <c r="F592" s="16" t="n">
        <v>12</v>
      </c>
      <c r="G592" s="17" t="n">
        <v>4200</v>
      </c>
      <c r="H592" s="17" t="n">
        <v>3300</v>
      </c>
      <c r="I592" s="17" t="n">
        <f aca="false">F592*G592</f>
        <v>50400</v>
      </c>
      <c r="J592" s="17" t="n">
        <f aca="false">F592*(G592-H592)</f>
        <v>10800</v>
      </c>
    </row>
    <row r="593" customFormat="false" ht="15" hidden="false" customHeight="false" outlineLevel="0" collapsed="false">
      <c r="A593" s="15" t="n">
        <v>46316</v>
      </c>
      <c r="B593" s="16" t="n">
        <f aca="false">MONTH(A593)</f>
        <v>10</v>
      </c>
      <c r="C593" s="16" t="s">
        <v>43</v>
      </c>
      <c r="D593" s="16" t="s">
        <v>33</v>
      </c>
      <c r="E593" s="16" t="s">
        <v>51</v>
      </c>
      <c r="F593" s="16" t="n">
        <v>3</v>
      </c>
      <c r="G593" s="17" t="n">
        <v>450</v>
      </c>
      <c r="H593" s="17" t="n">
        <v>280</v>
      </c>
      <c r="I593" s="17" t="n">
        <f aca="false">F593*G593</f>
        <v>1350</v>
      </c>
      <c r="J593" s="17" t="n">
        <f aca="false">F593*(G593-H593)</f>
        <v>510</v>
      </c>
    </row>
    <row r="594" customFormat="false" ht="15" hidden="false" customHeight="false" outlineLevel="0" collapsed="false">
      <c r="A594" s="15" t="n">
        <v>46288</v>
      </c>
      <c r="B594" s="16" t="n">
        <f aca="false">MONTH(A594)</f>
        <v>9</v>
      </c>
      <c r="C594" s="16" t="s">
        <v>40</v>
      </c>
      <c r="D594" s="16" t="s">
        <v>32</v>
      </c>
      <c r="E594" s="16" t="s">
        <v>50</v>
      </c>
      <c r="F594" s="16" t="n">
        <v>6</v>
      </c>
      <c r="G594" s="17" t="n">
        <v>3800</v>
      </c>
      <c r="H594" s="17" t="n">
        <v>3000</v>
      </c>
      <c r="I594" s="17" t="n">
        <f aca="false">F594*G594</f>
        <v>22800</v>
      </c>
      <c r="J594" s="17" t="n">
        <f aca="false">F594*(G594-H594)</f>
        <v>4800</v>
      </c>
    </row>
    <row r="595" customFormat="false" ht="15" hidden="false" customHeight="false" outlineLevel="0" collapsed="false">
      <c r="A595" s="15" t="n">
        <v>46281</v>
      </c>
      <c r="B595" s="16" t="n">
        <f aca="false">MONTH(A595)</f>
        <v>9</v>
      </c>
      <c r="C595" s="16" t="s">
        <v>41</v>
      </c>
      <c r="D595" s="16" t="s">
        <v>30</v>
      </c>
      <c r="E595" s="16" t="s">
        <v>50</v>
      </c>
      <c r="F595" s="16" t="n">
        <v>12</v>
      </c>
      <c r="G595" s="17" t="n">
        <v>18500</v>
      </c>
      <c r="H595" s="17" t="n">
        <v>15000</v>
      </c>
      <c r="I595" s="17" t="n">
        <f aca="false">F595*G595</f>
        <v>222000</v>
      </c>
      <c r="J595" s="17" t="n">
        <f aca="false">F595*(G595-H595)</f>
        <v>42000</v>
      </c>
    </row>
    <row r="596" customFormat="false" ht="15" hidden="false" customHeight="false" outlineLevel="0" collapsed="false">
      <c r="A596" s="15" t="n">
        <v>46248</v>
      </c>
      <c r="B596" s="16" t="n">
        <f aca="false">MONTH(A596)</f>
        <v>8</v>
      </c>
      <c r="C596" s="16" t="s">
        <v>42</v>
      </c>
      <c r="D596" s="16" t="s">
        <v>31</v>
      </c>
      <c r="E596" s="16" t="s">
        <v>50</v>
      </c>
      <c r="F596" s="16" t="n">
        <v>1</v>
      </c>
      <c r="G596" s="17" t="n">
        <v>4200</v>
      </c>
      <c r="H596" s="17" t="n">
        <v>3300</v>
      </c>
      <c r="I596" s="17" t="n">
        <f aca="false">F596*G596</f>
        <v>4200</v>
      </c>
      <c r="J596" s="17" t="n">
        <f aca="false">F596*(G596-H596)</f>
        <v>900</v>
      </c>
    </row>
    <row r="597" customFormat="false" ht="15" hidden="false" customHeight="false" outlineLevel="0" collapsed="false">
      <c r="A597" s="15" t="n">
        <v>46224</v>
      </c>
      <c r="B597" s="16" t="n">
        <f aca="false">MONTH(A597)</f>
        <v>7</v>
      </c>
      <c r="C597" s="16" t="s">
        <v>42</v>
      </c>
      <c r="D597" s="16" t="s">
        <v>32</v>
      </c>
      <c r="E597" s="16" t="s">
        <v>50</v>
      </c>
      <c r="F597" s="16" t="n">
        <v>1</v>
      </c>
      <c r="G597" s="17" t="n">
        <v>3800</v>
      </c>
      <c r="H597" s="17" t="n">
        <v>3000</v>
      </c>
      <c r="I597" s="17" t="n">
        <f aca="false">F597*G597</f>
        <v>3800</v>
      </c>
      <c r="J597" s="17" t="n">
        <f aca="false">F597*(G597-H597)</f>
        <v>800</v>
      </c>
    </row>
    <row r="598" customFormat="false" ht="15" hidden="false" customHeight="false" outlineLevel="0" collapsed="false">
      <c r="A598" s="15" t="n">
        <v>46034</v>
      </c>
      <c r="B598" s="16" t="n">
        <f aca="false">MONTH(A598)</f>
        <v>1</v>
      </c>
      <c r="C598" s="16" t="s">
        <v>42</v>
      </c>
      <c r="D598" s="16" t="s">
        <v>35</v>
      </c>
      <c r="E598" s="16" t="s">
        <v>52</v>
      </c>
      <c r="F598" s="16" t="n">
        <v>10</v>
      </c>
      <c r="G598" s="17" t="n">
        <v>900</v>
      </c>
      <c r="H598" s="17" t="n">
        <v>650</v>
      </c>
      <c r="I598" s="17" t="n">
        <f aca="false">F598*G598</f>
        <v>9000</v>
      </c>
      <c r="J598" s="17" t="n">
        <f aca="false">F598*(G598-H598)</f>
        <v>2500</v>
      </c>
    </row>
    <row r="599" customFormat="false" ht="15" hidden="false" customHeight="false" outlineLevel="0" collapsed="false">
      <c r="A599" s="15" t="n">
        <v>46257</v>
      </c>
      <c r="B599" s="16" t="n">
        <f aca="false">MONTH(A599)</f>
        <v>8</v>
      </c>
      <c r="C599" s="16" t="s">
        <v>43</v>
      </c>
      <c r="D599" s="16" t="s">
        <v>31</v>
      </c>
      <c r="E599" s="16" t="s">
        <v>50</v>
      </c>
      <c r="F599" s="16" t="n">
        <v>4</v>
      </c>
      <c r="G599" s="17" t="n">
        <v>4200</v>
      </c>
      <c r="H599" s="17" t="n">
        <v>3300</v>
      </c>
      <c r="I599" s="17" t="n">
        <f aca="false">F599*G599</f>
        <v>16800</v>
      </c>
      <c r="J599" s="17" t="n">
        <f aca="false">F599*(G599-H599)</f>
        <v>3600</v>
      </c>
    </row>
    <row r="600" customFormat="false" ht="15" hidden="false" customHeight="false" outlineLevel="0" collapsed="false">
      <c r="A600" s="15" t="n">
        <v>46349</v>
      </c>
      <c r="B600" s="16" t="n">
        <f aca="false">MONTH(A600)</f>
        <v>11</v>
      </c>
      <c r="C600" s="16" t="s">
        <v>43</v>
      </c>
      <c r="D600" s="16" t="s">
        <v>31</v>
      </c>
      <c r="E600" s="16" t="s">
        <v>50</v>
      </c>
      <c r="F600" s="16" t="n">
        <v>5</v>
      </c>
      <c r="G600" s="17" t="n">
        <v>4200</v>
      </c>
      <c r="H600" s="17" t="n">
        <v>3300</v>
      </c>
      <c r="I600" s="17" t="n">
        <f aca="false">F600*G600</f>
        <v>21000</v>
      </c>
      <c r="J600" s="17" t="n">
        <f aca="false">F600*(G600-H600)</f>
        <v>4500</v>
      </c>
    </row>
    <row r="601" customFormat="false" ht="15" hidden="false" customHeight="false" outlineLevel="0" collapsed="false">
      <c r="A601" s="15" t="n">
        <v>46141</v>
      </c>
      <c r="B601" s="16" t="n">
        <f aca="false">MONTH(A601)</f>
        <v>4</v>
      </c>
      <c r="C601" s="16" t="s">
        <v>42</v>
      </c>
      <c r="D601" s="16" t="s">
        <v>32</v>
      </c>
      <c r="E601" s="16" t="s">
        <v>50</v>
      </c>
      <c r="F601" s="16" t="n">
        <v>6</v>
      </c>
      <c r="G601" s="17" t="n">
        <v>3800</v>
      </c>
      <c r="H601" s="17" t="n">
        <v>3000</v>
      </c>
      <c r="I601" s="17" t="n">
        <f aca="false">F601*G601</f>
        <v>22800</v>
      </c>
      <c r="J601" s="17" t="n">
        <f aca="false">F601*(G601-H601)</f>
        <v>4800</v>
      </c>
    </row>
  </sheetData>
  <autoFilter ref="A1:J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2026-10-19T16:47:47Z</dcterms:created>
  <dc:creator>openpyxl</dc:creator>
  <dc:description/>
  <dc:language>en-US</dc:language>
  <cp:lastModifiedBy/>
  <dcterms:modified xsi:type="dcterms:W3CDTF">2026-10-19T16:47:49Z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